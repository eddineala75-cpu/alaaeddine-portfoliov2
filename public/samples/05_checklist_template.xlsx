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THE PERSONAL LIBRARY\MPIQHSE\Mémoire\27001\"/>
    </mc:Choice>
  </mc:AlternateContent>
  <xr:revisionPtr revIDLastSave="0" documentId="13_ncr:1_{B47EC84C-51B2-4CCE-897D-704D9F7AF057}" xr6:coauthVersionLast="47" xr6:coauthVersionMax="47" xr10:uidLastSave="{00000000-0000-0000-0000-000000000000}"/>
  <bookViews>
    <workbookView xWindow="-108" yWindow="-108" windowWidth="23256" windowHeight="12576" xr2:uid="{00000000-000D-0000-FFFF-FFFF00000000}"/>
  </bookViews>
  <sheets>
    <sheet name="Page de garde" sheetId="8" r:id="rId1"/>
    <sheet name="Exigences Commun" sheetId="9" r:id="rId2"/>
    <sheet name="Exigences ISO-DIS 9001 vr 2025" sheetId="1" r:id="rId3"/>
    <sheet name="Exigences Spec ISO 27001" sheetId="10" r:id="rId4"/>
    <sheet name="Synthése" sheetId="7" r:id="rId5"/>
  </sheets>
  <definedNames>
    <definedName name="Application">'Page de garde'!$F$12:$F$15</definedName>
    <definedName name="Conforme" localSheetId="1">#REF!</definedName>
    <definedName name="Conforme" localSheetId="3">#REF!</definedName>
    <definedName name="Conformité">#REF!</definedName>
    <definedName name="ISO">'Page de garde'!$E$19:$E$21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 i="10" l="1" a="1"/>
  <c r="I14" i="10" s="1"/>
  <c r="I10" i="1" l="1" a="1"/>
  <c r="I10" i="1" s="1"/>
  <c r="I11" i="1" a="1"/>
  <c r="I11" i="1" s="1"/>
  <c r="I12" i="1" a="1"/>
  <c r="I12"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3" i="1" a="1"/>
  <c r="I33" i="1" s="1"/>
  <c r="I32" i="1" s="1"/>
  <c r="I36" i="1" a="1"/>
  <c r="I36" i="1" s="1"/>
  <c r="I37" i="1" a="1"/>
  <c r="I37" i="1" s="1"/>
  <c r="I38" i="1" a="1"/>
  <c r="I38" i="1" s="1"/>
  <c r="I40" i="1" a="1"/>
  <c r="I40" i="1" s="1"/>
  <c r="I41" i="1" a="1"/>
  <c r="I41" i="1" s="1"/>
  <c r="I44" i="1" a="1"/>
  <c r="I44" i="1" s="1"/>
  <c r="I45" i="1" a="1"/>
  <c r="I45" i="1" s="1"/>
  <c r="I10" i="10" a="1"/>
  <c r="I10" i="10" s="1"/>
  <c r="I9" i="10" s="1"/>
  <c r="I13" i="10" a="1"/>
  <c r="I13" i="10" s="1"/>
  <c r="I15" i="10" a="1"/>
  <c r="I15" i="10" s="1"/>
  <c r="I16" i="10" a="1"/>
  <c r="I16" i="10" s="1"/>
  <c r="I17" i="10" a="1"/>
  <c r="I17" i="10" s="1"/>
  <c r="I18" i="10" a="1"/>
  <c r="I18" i="10" s="1"/>
  <c r="I19" i="10" a="1"/>
  <c r="I19" i="10" s="1"/>
  <c r="I20" i="10" a="1"/>
  <c r="I20" i="10" s="1"/>
  <c r="I21" i="10" a="1"/>
  <c r="I21" i="10" s="1"/>
  <c r="I22" i="10" a="1"/>
  <c r="I22" i="10" s="1"/>
  <c r="I23" i="10" a="1"/>
  <c r="I23" i="10" s="1"/>
  <c r="I25" i="10" a="1"/>
  <c r="I25" i="10" s="1"/>
  <c r="I26" i="10" a="1"/>
  <c r="I26" i="10" s="1"/>
  <c r="I27" i="10" a="1"/>
  <c r="I27" i="10" s="1"/>
  <c r="I28" i="10" a="1"/>
  <c r="I28" i="10" s="1"/>
  <c r="I29" i="10" a="1"/>
  <c r="I29" i="10" s="1"/>
  <c r="I30" i="10" a="1"/>
  <c r="I30" i="10" s="1"/>
  <c r="I31" i="10" a="1"/>
  <c r="I31" i="10" s="1"/>
  <c r="I32" i="10" a="1"/>
  <c r="I32" i="10" s="1"/>
  <c r="I34" i="10" a="1"/>
  <c r="I34" i="10" s="1"/>
  <c r="I33" i="10" s="1"/>
  <c r="I37" i="10" a="1"/>
  <c r="I37" i="10" s="1"/>
  <c r="I38" i="10" a="1"/>
  <c r="I38" i="10" s="1"/>
  <c r="I41" i="10" a="1"/>
  <c r="I41" i="10" s="1"/>
  <c r="I42" i="10" a="1"/>
  <c r="I42" i="10" s="1"/>
  <c r="I44" i="10" a="1"/>
  <c r="I44" i="10" s="1"/>
  <c r="I45" i="10" a="1"/>
  <c r="I45" i="10" s="1"/>
  <c r="I10" i="9" a="1"/>
  <c r="I10" i="9" s="1"/>
  <c r="I11" i="9" a="1"/>
  <c r="I11" i="9" s="1"/>
  <c r="I12" i="9" a="1"/>
  <c r="I12" i="9" s="1"/>
  <c r="I13" i="9" a="1"/>
  <c r="I13" i="9" s="1"/>
  <c r="I15" i="9" a="1"/>
  <c r="I15" i="9" s="1"/>
  <c r="I14" i="9" s="1"/>
  <c r="I18" i="9" a="1"/>
  <c r="I18" i="9" s="1"/>
  <c r="I19" i="9" a="1"/>
  <c r="I19" i="9" s="1"/>
  <c r="I20" i="9" a="1"/>
  <c r="I20" i="9" s="1"/>
  <c r="I21" i="9" a="1"/>
  <c r="I21" i="9" s="1"/>
  <c r="I22" i="9" a="1"/>
  <c r="I22" i="9" s="1"/>
  <c r="I23" i="9" a="1"/>
  <c r="I23" i="9" s="1"/>
  <c r="I24" i="9" a="1"/>
  <c r="I24" i="9" s="1"/>
  <c r="I25" i="9" a="1"/>
  <c r="I25" i="9" s="1"/>
  <c r="I29" i="9" a="1"/>
  <c r="I29" i="9" s="1"/>
  <c r="I30" i="9" a="1"/>
  <c r="I30" i="9" s="1"/>
  <c r="I31" i="9" a="1"/>
  <c r="I31" i="9" s="1"/>
  <c r="I32" i="9" a="1"/>
  <c r="I32" i="9" s="1"/>
  <c r="I33" i="9" a="1"/>
  <c r="I33" i="9" s="1"/>
  <c r="I35" i="9" a="1"/>
  <c r="I35" i="9" s="1"/>
  <c r="I36" i="9" a="1"/>
  <c r="I36" i="9" s="1"/>
  <c r="I37" i="9" a="1"/>
  <c r="I37" i="9" s="1"/>
  <c r="I38" i="9" a="1"/>
  <c r="I38" i="9" s="1"/>
  <c r="I39" i="9" a="1"/>
  <c r="I39" i="9" s="1"/>
  <c r="I40" i="9" a="1"/>
  <c r="I40" i="9" s="1"/>
  <c r="I41" i="9" a="1"/>
  <c r="I41" i="9" s="1"/>
  <c r="I42" i="9" a="1"/>
  <c r="I42" i="9" s="1"/>
  <c r="I43" i="9" a="1"/>
  <c r="I43" i="9" s="1"/>
  <c r="I44" i="9" a="1"/>
  <c r="I44" i="9" s="1"/>
  <c r="I45" i="9" a="1"/>
  <c r="I45" i="9" s="1"/>
  <c r="I46" i="9" a="1"/>
  <c r="I46" i="9" s="1"/>
  <c r="I49" i="9" a="1"/>
  <c r="I49" i="9" s="1"/>
  <c r="I48" i="9" s="1"/>
  <c r="I51" i="9" a="1"/>
  <c r="I51" i="9" s="1"/>
  <c r="I52" i="9" a="1"/>
  <c r="I52" i="9" s="1"/>
  <c r="I9" i="9" l="1"/>
  <c r="I28" i="9"/>
  <c r="I36" i="10"/>
  <c r="I43" i="10"/>
  <c r="I40" i="10"/>
  <c r="I12" i="10"/>
  <c r="I24" i="10"/>
  <c r="I50" i="9"/>
  <c r="I17" i="9"/>
  <c r="I34" i="9"/>
  <c r="I43" i="1"/>
  <c r="I39" i="1"/>
  <c r="I9" i="1"/>
  <c r="I35" i="1"/>
  <c r="I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<sst xmlns="http://schemas.openxmlformats.org/spreadsheetml/2006/main" count="348" uniqueCount="255">
  <si>
    <t>Exigences ISO 27001</t>
  </si>
  <si>
    <t>4. Contexte de l'organisme</t>
  </si>
  <si>
    <t>4.3</t>
  </si>
  <si>
    <t>4.4</t>
  </si>
  <si>
    <t>5. Leadership</t>
  </si>
  <si>
    <t>6. Planification</t>
  </si>
  <si>
    <t>4.3 a</t>
  </si>
  <si>
    <t>4.3 b</t>
  </si>
  <si>
    <t>4.3 c</t>
  </si>
  <si>
    <t xml:space="preserve">Prendre en considération les besoins et exigences des parties intéressé </t>
  </si>
  <si>
    <t>Tenir compte l'interactivité des activités internes et celles
d'autres organisations</t>
  </si>
  <si>
    <t>Rendre disponible le domaine d'application comme information documentée</t>
  </si>
  <si>
    <t>L’entreprise doit identifier les risques et les opportunités liés à la sécurité de l’information.
Elle doit tenir compte :
de son contexte interne et externe ;
des exigences des parties intéressées</t>
  </si>
  <si>
    <t>6.1.1</t>
  </si>
  <si>
    <t>6.1.1 b</t>
  </si>
  <si>
    <t>6.1.1 a</t>
  </si>
  <si>
    <t>6.1.1 c</t>
  </si>
  <si>
    <t>6.1.1 d+e</t>
  </si>
  <si>
    <t>6.1.2 a</t>
  </si>
  <si>
    <t>6.1.2 b</t>
  </si>
  <si>
    <t>Utiliser une méthode qui garantit des résultats cohérents et comparables à chaque nouvelle analyse.</t>
  </si>
  <si>
    <t>6.1.2 c1</t>
  </si>
  <si>
    <t>6.1.2 c2</t>
  </si>
  <si>
    <t xml:space="preserve">Identifier les propriétaires des risques </t>
  </si>
  <si>
    <t>évaluer les conséquences possibles si le risque se réalise.</t>
  </si>
  <si>
    <t>6.1.2 e1</t>
  </si>
  <si>
    <t>6.1.2 e2</t>
  </si>
  <si>
    <t>estimer la probabilité que le risque se produise.</t>
  </si>
  <si>
    <t>déterminer le niveau de risque.</t>
  </si>
  <si>
    <t>6.1.2 d1</t>
  </si>
  <si>
    <t>6.1.2 d2</t>
  </si>
  <si>
    <t>6.1.2 d3</t>
  </si>
  <si>
    <t>comparer le niveau de risque aux critères définis.</t>
  </si>
  <si>
    <t>classer les risques par priorité pour les traiter.</t>
  </si>
  <si>
    <t xml:space="preserve">6.1.2 </t>
  </si>
  <si>
    <t>Conserver des informations documentées sur le processus d'appréciation des risques de sécurité de l'information</t>
  </si>
  <si>
    <t>Identifier les risques liés à la perte de confidentialité, d'intégrité et de
disponibilité des informations (C.I.D)</t>
  </si>
  <si>
    <t>sélectionner les options appropriées de traitement des risques liés à la sécurité de l'information, en tenant compte des résultats de l'évaluation des risques</t>
  </si>
  <si>
    <t>6.1.3 a</t>
  </si>
  <si>
    <t>6.1.3 b</t>
  </si>
  <si>
    <t>6.1.3 c</t>
  </si>
  <si>
    <t>6.1.3 d</t>
  </si>
  <si>
    <t>6.1.3 e</t>
  </si>
  <si>
    <t>6.1.3 f</t>
  </si>
  <si>
    <t>Déterminer les mesures nécessaires à entreprendre pour l'option choisie</t>
  </si>
  <si>
    <t xml:space="preserve"> Comparer les contrôles déterminés au point 6.1.3 b)  avec ceux de l'annexe A et vérifier
qu'aucun contrôle nécessaire n'a été omis</t>
  </si>
  <si>
    <t xml:space="preserve">
Etablir une Déclaration d’Applicabilité (SoA) qui précise :
* les contrôles retenus 
* pourquoi ils ont été choisis 
* s’ils sont mis en place ou non 
* pourquoi certains contrôles de l’Annexe A ne sont pas appliqués.</t>
  </si>
  <si>
    <t>Etablir un plan de traitement des risques</t>
  </si>
  <si>
    <t>6.2</t>
  </si>
  <si>
    <t xml:space="preserve">Prévenir ou réduire les effets indésirables </t>
  </si>
  <si>
    <t>Améliorer le système en continu.</t>
  </si>
  <si>
    <t>6.2 a</t>
  </si>
  <si>
    <t>Etablir, mettre en œuvre, maintenir et améliorer le SMSI et les processus nécessaires et leurs interactions</t>
  </si>
  <si>
    <t>6.2 b</t>
  </si>
  <si>
    <t>6.2 c</t>
  </si>
  <si>
    <t>6.2 d</t>
  </si>
  <si>
    <t>6.2 e</t>
  </si>
  <si>
    <t>6.2 f</t>
  </si>
  <si>
    <t>6.2 g</t>
  </si>
  <si>
    <t>6.2 h</t>
  </si>
  <si>
    <t>les actions à réaliser</t>
  </si>
  <si>
    <t>6.2 j</t>
  </si>
  <si>
    <t>6.2 l</t>
  </si>
  <si>
    <t>la méthode d’évaluation des résultats</t>
  </si>
  <si>
    <t>6.3</t>
  </si>
  <si>
    <t>Planifier les changements du SMSI avant de les appliquer</t>
  </si>
  <si>
    <t>7. Support</t>
  </si>
  <si>
    <t>7.3 c</t>
  </si>
  <si>
    <t>Sensibiliser le personnel aux répercussions et aux conséquences du non-respect des exigences du SMSI</t>
  </si>
  <si>
    <t>7.5.1 a</t>
  </si>
  <si>
    <t>7.5.1 b</t>
  </si>
  <si>
    <t>8.1</t>
  </si>
  <si>
    <t>8.2</t>
  </si>
  <si>
    <t>Conserve des informations documentées sur les résultats des évaluations des risques pour la
sécurité de l'information.</t>
  </si>
  <si>
    <t>8.3</t>
  </si>
  <si>
    <t>Met en œuvre le plan de traitement des risques liés à la sécurité de l'information.</t>
  </si>
  <si>
    <t>Conserver des informations documentées sur les résultats du traitement des risques liés
à la sécurité de l'information.</t>
  </si>
  <si>
    <t xml:space="preserve">Exigences </t>
  </si>
  <si>
    <t>Clause</t>
  </si>
  <si>
    <t>9.3.2 e</t>
  </si>
  <si>
    <t>9.3.2 f</t>
  </si>
  <si>
    <t>8. Réalisation</t>
  </si>
  <si>
    <t>10. Amélioration</t>
  </si>
  <si>
    <t>4.3 Domaine d'application</t>
  </si>
  <si>
    <t>5.1 Leadership et engagement</t>
  </si>
  <si>
    <t>6.1 Actions faces au risques et opportunité</t>
  </si>
  <si>
    <t>6.1.1 Généralités</t>
  </si>
  <si>
    <t>6.1.2 Appréciation des risques liés à la sécurité de l'information</t>
  </si>
  <si>
    <t xml:space="preserve">6.1.3 Traitement des risques liés à la sécurité de l'information </t>
  </si>
  <si>
    <t>6.3 Planification des modifications</t>
  </si>
  <si>
    <t>7.3 sensibilisation</t>
  </si>
  <si>
    <t xml:space="preserve">7.5 Informations documentées </t>
  </si>
  <si>
    <t xml:space="preserve">8.2 Appréciation des risques de sécurité de l'information </t>
  </si>
  <si>
    <t>8.3 Traitement des risques de sécurité de l'information</t>
  </si>
  <si>
    <t>9.3 Revue de direction</t>
  </si>
  <si>
    <t>4.4.1 f</t>
  </si>
  <si>
    <t>4.4.1 h</t>
  </si>
  <si>
    <t>Tenir à jour une information documentée sur le fonctionnement des processus</t>
  </si>
  <si>
    <t xml:space="preserve">4.4.2 </t>
  </si>
  <si>
    <t>s’assurant que la politique et les objectifs qualité sont établis pour le système de management de la
qualité et qu’ils sont compatibles avec le contexte et l’orientation stratégique de l’organisme</t>
  </si>
  <si>
    <t>5.1.1 b</t>
  </si>
  <si>
    <t>5.1.1 d</t>
  </si>
  <si>
    <t>Promouvoir l'amélioration continue</t>
  </si>
  <si>
    <t>Promouvoir l’utilisation de l’approche processus et de l’approche par les risques</t>
  </si>
  <si>
    <t>5.1.1 i</t>
  </si>
  <si>
    <t>Déterminer et satisfaire aux exigences du client, légales et réglementaires</t>
  </si>
  <si>
    <t>5.1.2 a</t>
  </si>
  <si>
    <t>5.1.2 b</t>
  </si>
  <si>
    <t>5.1.2 c</t>
  </si>
  <si>
    <t>Déterminer et traiter les risques et opportunités potentiels</t>
  </si>
  <si>
    <t>6.1.1 d</t>
  </si>
  <si>
    <t>6.1.2 b1</t>
  </si>
  <si>
    <t>6.1.2 b2</t>
  </si>
  <si>
    <t>Planifier la manière d'évaluer les actions, suivre les résultats de chaque action,</t>
  </si>
  <si>
    <t>L’organisme doit maîtriser les modifications prévues, analyser les conséquences des modificationsimprévues et, si nécessaire, mener des actions pour limiter tout effet négatif.
Il doit s’assurer que les processus externalisés sont maîtrisés</t>
  </si>
  <si>
    <t>Analyser et évaluer les données et informations appropriées issues de la surveillance et de la mesure</t>
  </si>
  <si>
    <t xml:space="preserve">Utiliser les éléments de sortie de l'analyse, afin d'évaluer l'efficacité des actions face aux risques et opportunités. </t>
  </si>
  <si>
    <t>Utiliser les éléments de sortie de l'analyse, afin d'évaluer les opportunités d'amélioration du SMQ</t>
  </si>
  <si>
    <t>9.1.3</t>
  </si>
  <si>
    <t>9.1.3 e</t>
  </si>
  <si>
    <t>9.1.3 g</t>
  </si>
  <si>
    <t>Prendre en compte les opportunités d'amélioration</t>
  </si>
  <si>
    <t>Analyser l’efficacité des actions liées aux risques et opportunités.</t>
  </si>
  <si>
    <t>Trouver les opportunités d'amélioration et mener des actions nécessaires</t>
  </si>
  <si>
    <t>10.1 a</t>
  </si>
  <si>
    <t>10.1 c</t>
  </si>
  <si>
    <t xml:space="preserve">4.4 Système de management de la qualité et ses processus </t>
  </si>
  <si>
    <t>8.1 Planification et maîtrise opérationnelles</t>
  </si>
  <si>
    <t>9. Évaluation des performances</t>
  </si>
  <si>
    <t>9.1 Surveillance, mesure, analyse et évaluation</t>
  </si>
  <si>
    <t>8. Réalisation des activités opérationnelles</t>
  </si>
  <si>
    <t>10.1 Généralités</t>
  </si>
  <si>
    <t>Prendre en considération les enjeux externes et internes</t>
  </si>
  <si>
    <t>Déterminer le domaine d'application en prise en compte les points a,b et c ci-dessous</t>
  </si>
  <si>
    <t>Manuel du SMSI</t>
  </si>
  <si>
    <t>Manuel du SMSI
Méthodologie d’évaluation des risques</t>
  </si>
  <si>
    <t>Registre des risques</t>
  </si>
  <si>
    <t>Déclaration d’applicabilité</t>
  </si>
  <si>
    <t>Plan de traitement du risque</t>
  </si>
  <si>
    <t>Politique de gestion documentaire du SMSI</t>
  </si>
  <si>
    <t>6.1 Actions à mettre en œuvre face aux risques et opportunités</t>
  </si>
  <si>
    <t>Prendre en compte les risques et opportunités, afin de s'assurer que le SMQ peut atteindre les résdentifier les risques et opportunités en tenant compte du contexte (4.1) et des parties intéressées (4.2).</t>
  </si>
  <si>
    <t xml:space="preserve">6.1.1 </t>
  </si>
  <si>
    <t>Gérer les risques et opportunités pour garantir l’atteinte des résultats du système qualité.</t>
  </si>
  <si>
    <t>prévenir ou réduire les effets indésirables</t>
  </si>
  <si>
    <t>parvenir à une amélioration continue</t>
  </si>
  <si>
    <t>accroître les effets souhaitables</t>
  </si>
  <si>
    <t>déterminer, analyser et évaluer les risques qui peuvent avoir un effet indésirable sur sacapacité à respectivement fournir et assurer la prestation, de manière continue et cohérente, de produits et services conformes et à améliorer la satisfaction du client.</t>
  </si>
  <si>
    <t xml:space="preserve">Planifier les actions à mettre en œuvre face aux risques </t>
  </si>
  <si>
    <t>Planifier la manière d'intégrer et mettre en œuvre ces actions au sein des processus du système de management de la
qualité</t>
  </si>
  <si>
    <t>Les actions doivent être proportionnelles à l’impact potentiel sur la conformité des produits et services.</t>
  </si>
  <si>
    <t>6.1.3</t>
  </si>
  <si>
    <t>Déterminer, analyser et évaluer les opportunités d’amélioration.</t>
  </si>
  <si>
    <t>planifier les actions pour exploiter les opportunités.</t>
  </si>
  <si>
    <t>6.1.3 b1</t>
  </si>
  <si>
    <t>6.1.3 b2</t>
  </si>
  <si>
    <t>Les actions doivent être proportionnelles à l’impact sur la satisfaction client et la conformité.</t>
  </si>
  <si>
    <t>Description du document</t>
  </si>
  <si>
    <t>Niveau</t>
  </si>
  <si>
    <t>Niveau de conformité</t>
  </si>
  <si>
    <t>Description</t>
  </si>
  <si>
    <t>Non appliqué</t>
  </si>
  <si>
    <t>L’exigence ou le contrôle n’est pas mis en œuvre. Aucune preuve ou pratique n’existe.</t>
  </si>
  <si>
    <t>Partiellement appliqué</t>
  </si>
  <si>
    <t>Certaines actions existent mais elles sont incomplètes, informelles ou non systématiques.</t>
  </si>
  <si>
    <t>Largement appliqué</t>
  </si>
  <si>
    <t>L’exigence est majoritairement mise en œuvre, mais il reste quelques lacunes ou améliorations à apporter.</t>
  </si>
  <si>
    <t>Totalement appliqué</t>
  </si>
  <si>
    <t>L’exigence est entièrement mise en œuvre, formalisée, maîtrisée et suivie.</t>
  </si>
  <si>
    <t>Chapitres</t>
  </si>
  <si>
    <t>,</t>
  </si>
  <si>
    <t>5.1 g</t>
  </si>
  <si>
    <t>5.2 d</t>
  </si>
  <si>
    <t xml:space="preserve">Comprend un engagement d'amélioration continue du système de gestion de la sécurité de l'information. </t>
  </si>
  <si>
    <t>Politique SMI</t>
  </si>
  <si>
    <t>Manuel du Smi</t>
  </si>
  <si>
    <t xml:space="preserve">Inclure dans le SMSI les informations documentées exigées </t>
  </si>
  <si>
    <t>les documents que l’organisation juge nécessaires pour assurer le bon fonctionnement du SMI.
* Le nombre et le type de documents peuvent varier selon :
* la taille de l’organisation ;
* le type d’activités, de produits et de services ;
* la complexité des processus ;
* les compétences du personnel.</t>
  </si>
  <si>
    <t>Commentaires</t>
  </si>
  <si>
    <t>Document consulté</t>
  </si>
  <si>
    <t>6.2 Objectifs de sécurité de l'information et Qualité et planification pour les atteindre</t>
  </si>
  <si>
    <t>Établir les objectifs de sécurité de l'information et qualité Pour toutes les fonctions et niveaux dans l'organisation, ces objectifs doivent :</t>
  </si>
  <si>
    <t>la personne responsable</t>
  </si>
  <si>
    <t>Référence ISO</t>
  </si>
  <si>
    <t>Documents disponibles</t>
  </si>
  <si>
    <t>Domaine / Exigence</t>
  </si>
  <si>
    <t>Norme</t>
  </si>
  <si>
    <t>Conformité</t>
  </si>
  <si>
    <t>ISO 27001 et ISO 9001: 2025</t>
  </si>
  <si>
    <t>ISO 9001: 2025</t>
  </si>
  <si>
    <t xml:space="preserve">ISO 27001 </t>
  </si>
  <si>
    <t xml:space="preserve">Promouvoir l'amélioration continue </t>
  </si>
  <si>
    <t>L'organisme doit agir pour : garantir que le SMI atteint ses objectifs</t>
  </si>
  <si>
    <t>prendre en compte les risques et opportunités tels que déterminés conformément aux exigences
de 6.1</t>
  </si>
  <si>
    <t>Améliorer les processus et le système de management de la qualité.</t>
  </si>
  <si>
    <t>Document attendu</t>
  </si>
  <si>
    <t>Registre des risques et opportunité</t>
  </si>
  <si>
    <t>PTR</t>
  </si>
  <si>
    <t>Revue de direction</t>
  </si>
  <si>
    <t xml:space="preserve">Registre des risques </t>
  </si>
  <si>
    <t>Documents attendu</t>
  </si>
  <si>
    <t>Maintenir l'objectif de satisfaire toujours mieux le client</t>
  </si>
  <si>
    <t>Politique SMI/Tableau des objectifs</t>
  </si>
  <si>
    <t>Cartographie des processus /Analyse des risques</t>
  </si>
  <si>
    <t xml:space="preserve">Tenir compte des exigences applicables en matière de sécurité de l'information et des résultats de l'évaluation et du traitement des risques </t>
  </si>
  <si>
    <t>Politique de gestion documentaire</t>
  </si>
  <si>
    <t>analyse des risques</t>
  </si>
  <si>
    <t>Registre des risques / Procédure de gestion des risques</t>
  </si>
  <si>
    <t>KPI / Tableau de bord</t>
  </si>
  <si>
    <t>registre des risques</t>
  </si>
  <si>
    <t>DDA</t>
  </si>
  <si>
    <t>% de conformité</t>
  </si>
  <si>
    <t>Catégorie</t>
  </si>
  <si>
    <t>Interprétation</t>
  </si>
  <si>
    <t>Couleur</t>
  </si>
  <si>
    <t>&lt; 50%</t>
  </si>
  <si>
    <t>Non conforme / Faible</t>
  </si>
  <si>
    <t>Niveau insuffisant</t>
  </si>
  <si>
    <t>Rouge</t>
  </si>
  <si>
    <t>50% – &lt; 75%</t>
  </si>
  <si>
    <t>Partiellement conforme</t>
  </si>
  <si>
    <t>Niveau intermédiaire</t>
  </si>
  <si>
    <t>Jaune</t>
  </si>
  <si>
    <t>≥ 75%</t>
  </si>
  <si>
    <t>Conforme / Satisfaisant</t>
  </si>
  <si>
    <t>Niveau acceptable / bon</t>
  </si>
  <si>
    <t>Vert</t>
  </si>
  <si>
    <t xml:space="preserve">4.4 Système de management </t>
  </si>
  <si>
    <t>)</t>
  </si>
  <si>
    <t>Registre des objectifs par fonction /PTR</t>
  </si>
  <si>
    <r>
      <t>L’organisme anticipe, corrige, prévient et réduit les éventuels</t>
    </r>
    <r>
      <rPr>
        <sz val="11"/>
        <rFont val="Arial"/>
        <family val="2"/>
      </rPr>
      <t xml:space="preserve"> effets indésirables de ses produits et services</t>
    </r>
  </si>
  <si>
    <t>Reférence Qualipro de document</t>
  </si>
  <si>
    <t>Observation</t>
  </si>
  <si>
    <t>Tableau de bord / KPI</t>
  </si>
  <si>
    <t>Référence Qualipro</t>
  </si>
  <si>
    <t xml:space="preserve">enquête satisfaction client </t>
  </si>
  <si>
    <t>Planifier les action face aux risques et opportunités et définie l’intégration de ces actions dans les processus et la manière d’évaluer leur efficacité.</t>
  </si>
  <si>
    <t>Définir des critères de risque. Qui comprennent à partir de quel niveau un risque est acceptable et comment les risques seront évalués.</t>
  </si>
  <si>
    <t>Référence Qualipro de document</t>
  </si>
  <si>
    <t>registre des risques et opportunités</t>
  </si>
  <si>
    <t>Être cohérent avec la politique de sécurité de l'information</t>
  </si>
  <si>
    <t>Être mesurables (si possible)</t>
  </si>
  <si>
    <t>Être contrôlés</t>
  </si>
  <si>
    <t>Être communiquée</t>
  </si>
  <si>
    <t>Être mis à jour si nécessaire</t>
  </si>
  <si>
    <t>Être  documentées</t>
  </si>
  <si>
    <t xml:space="preserve"> conserver des informations documentées sur les objectifs de sécurité de
l'information. Lorsqu'il planifie la manière d'atteindre ses objectifs de sécurité de l'information, a fin de déterminer les points 6.2 h, I,k,l ci-dessous</t>
  </si>
  <si>
    <t>Présentation de sensibilisation à la sécurité d'information / Programme des formations</t>
  </si>
  <si>
    <t>Obtenir l'approbation du plan de traitement des risques de sécurité de l'information par les propriétaires des risques et l'acceptation des risques résiduels de sécurité de l'information.</t>
  </si>
  <si>
    <t>Effectuer une appréciation des risques régulièrement ou lorsque des changements importants sont proposés ou se produisent, en tenant compte des critères établis au point 6.1.2 a).</t>
  </si>
  <si>
    <t>Exigences commune ISO 27001 et ISO 9001 (2025)</t>
  </si>
  <si>
    <t>Exigences ISO 9001 (2025)</t>
  </si>
  <si>
    <t>4. Contexte</t>
  </si>
  <si>
    <t>8. Realisation</t>
  </si>
  <si>
    <t>9. Evaluation de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</si>
</sst>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1" x14ac:knownFonts="1">
    <font>
      <sz val="11"/>
      <color theme="1"/>
      <name val="Calibri"/>
      <family val="2"/>
      <scheme val="minor"/>
    </font>
    <font>
      <sz val="10"/>
      <name val="Arial"/>
      <family val="2"/>
    </font>
    <font>
      <b/>
      <sz val="16"/>
      <color indexed="12"/>
      <name val="Arial"/>
      <family val="2"/>
    </font>
    <font>
      <b/>
      <sz val="24"/>
      <color theme="1"/>
      <name val="Calibri"/>
      <family val="2"/>
      <scheme val="minor"/>
    </font>
    <font>
      <sz val="8"/>
      <name val="Calibri"/>
      <family val="2"/>
      <scheme val="minor"/>
    </font>
    <font>
      <b/>
      <sz val="11"/>
      <color theme="1"/>
      <name val="Calibri"/>
      <family val="2"/>
      <scheme val="minor"/>
    </font>
    <font>
      <b/>
      <sz val="16"/>
      <color theme="1"/>
      <name val="Calibri"/>
      <family val="2"/>
      <scheme val="minor"/>
    </font>
    <font>
      <i/>
      <sz val="14"/>
      <color indexed="12"/>
      <name val="Arial"/>
      <family val="2"/>
    </font>
    <font>
      <b/>
      <sz val="14"/>
      <color indexed="12"/>
      <name val="Arial"/>
      <family val="2"/>
    </font>
    <font>
      <u/>
      <sz val="11"/>
      <color theme="10"/>
      <name val="Calibri"/>
      <family val="2"/>
      <scheme val="minor"/>
    </font>
    <font>
      <sz val="10"/>
      <name val="Arial"/>
      <family val="2"/>
    </font>
    <font>
      <sz val="7"/>
      <name val="Arial"/>
      <family val="2"/>
    </font>
    <font>
      <sz val="11"/>
      <color theme="1"/>
      <name val="Calibri"/>
      <family val="2"/>
      <scheme val="minor"/>
    </font>
    <font>
      <sz val="11"/>
      <color theme="0"/>
      <name val="Calibri"/>
      <family val="2"/>
      <scheme val="minor"/>
    </font>
    <font>
      <b/>
      <sz val="16"/>
      <color theme="0"/>
      <name val="Calibri"/>
      <family val="2"/>
      <scheme val="minor"/>
    </font>
    <font>
      <b/>
      <i/>
      <sz val="48"/>
      <color rgb="FFFF0000"/>
      <name val="Amasis MT Pro"/>
      <family val="1"/>
    </font>
    <font>
      <b/>
      <sz val="48"/>
      <color rgb="FFFF0000"/>
      <name val="Calibri"/>
      <family val="2"/>
      <scheme val="minor"/>
    </font>
    <font>
      <sz val="11"/>
      <color theme="1"/>
      <name val="Amasis MT Pro Medium"/>
      <family val="1"/>
    </font>
    <font>
      <b/>
      <sz val="7"/>
      <color theme="0"/>
      <name val="Arial"/>
      <family val="2"/>
    </font>
    <font>
      <b/>
      <sz val="16"/>
      <color rgb="FF002060"/>
      <name val="Calibri"/>
      <family val="2"/>
      <scheme val="minor"/>
    </font>
    <font>
      <sz val="11"/>
      <color rgb="FF002060"/>
      <name val="Calibri"/>
      <family val="2"/>
      <scheme val="minor"/>
    </font>
    <font>
      <sz val="11"/>
      <name val="Arial"/>
      <family val="2"/>
    </font>
    <font>
      <sz val="16"/>
      <name val="Calibri"/>
      <family val="2"/>
      <scheme val="minor"/>
    </font>
    <font>
      <u/>
      <sz val="11"/>
      <name val="Calibri"/>
      <family val="2"/>
      <scheme val="minor"/>
    </font>
    <font>
      <sz val="11"/>
      <color theme="0" tint="-4.9989318521683403E-2"/>
      <name val="Calibri"/>
      <family val="2"/>
      <scheme val="minor"/>
    </font>
    <font>
      <b/>
      <sz val="11"/>
      <color theme="0"/>
      <name val="Calibri"/>
      <family val="2"/>
      <scheme val="minor"/>
    </font>
    <font>
      <b/>
      <sz val="14"/>
      <color theme="1"/>
      <name val="Calibri"/>
      <family val="2"/>
      <scheme val="minor"/>
    </font>
    <font>
      <sz val="14"/>
      <color theme="1"/>
      <name val="Calibri"/>
      <family val="2"/>
      <scheme val="minor"/>
    </font>
    <font>
      <b/>
      <sz val="16"/>
      <color theme="0"/>
      <name val="Arial"/>
      <family val="2"/>
    </font>
    <font>
      <b/>
      <sz val="11"/>
      <name val="Calibri"/>
      <family val="2"/>
      <scheme val="minor"/>
    </font>
    <font>
      <i/>
      <sz val="16"/>
      <color rgb="FF222222"/>
      <name val="Cambria"/>
      <family val="1"/>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02060"/>
        <bgColor indexed="64"/>
      </patternFill>
    </fill>
    <fill>
      <patternFill patternType="solid">
        <fgColor rgb="FF1919C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rgb="FF000000"/>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1" fillId="0" borderId="0"/>
    <xf numFmtId="0" fontId="9" fillId="0" borderId="0" applyNumberFormat="0" applyFill="0" applyBorder="0" applyAlignment="0" applyProtection="0"/>
    <xf numFmtId="0" fontId="10" fillId="0" borderId="0"/>
  </cellStyleXfs>
  <cellXfs count="111">
    <xf numFmtId="0" fontId="0" fillId="0" borderId="0" xfId="0"/>
    <xf numFmtId="0" fontId="0" fillId="0" borderId="0" xfId="0" applyAlignment="1">
      <alignment horizontal="center" vertical="center"/>
    </xf>
    <xf numFmtId="0" fontId="3" fillId="0" borderId="0" xfId="0" applyFont="1" applyAlignment="1">
      <alignment vertical="center"/>
    </xf>
    <xf numFmtId="0" fontId="2" fillId="0" borderId="0" xfId="1" applyFont="1" applyFill="1" applyBorder="1" applyAlignment="1" applyProtection="1">
      <alignment horizontal="center" vertical="center"/>
      <protection locked="0"/>
    </xf>
    <xf numFmtId="0" fontId="6" fillId="0" borderId="0" xfId="0" applyFont="1" applyAlignment="1">
      <alignment horizontal="center" vertical="center"/>
    </xf>
    <xf numFmtId="0" fontId="6" fillId="0" borderId="0" xfId="0" applyFont="1" applyBorder="1" applyAlignment="1">
      <alignment horizontal="center" vertical="center"/>
    </xf>
    <xf numFmtId="0" fontId="0" fillId="0" borderId="0" xfId="0" applyBorder="1"/>
    <xf numFmtId="0" fontId="2" fillId="0" borderId="0" xfId="1" applyFont="1" applyFill="1" applyBorder="1" applyAlignment="1" applyProtection="1">
      <alignment horizontal="center" vertical="center"/>
      <protection locked="0"/>
    </xf>
    <xf numFmtId="0" fontId="2" fillId="0" borderId="0" xfId="1" applyFont="1" applyFill="1" applyBorder="1" applyAlignment="1" applyProtection="1">
      <alignment vertical="center"/>
      <protection locked="0"/>
    </xf>
    <xf numFmtId="0" fontId="2" fillId="0" borderId="0" xfId="1" applyFont="1" applyFill="1" applyBorder="1" applyAlignment="1" applyProtection="1">
      <alignment horizontal="center" vertical="center"/>
      <protection locked="0"/>
    </xf>
    <xf numFmtId="0" fontId="5" fillId="0" borderId="0" xfId="0" applyFont="1" applyBorder="1" applyAlignment="1">
      <alignment vertical="center" wrapText="1"/>
    </xf>
    <xf numFmtId="0" fontId="11" fillId="0" borderId="0" xfId="0" applyFont="1" applyFill="1" applyBorder="1" applyAlignment="1">
      <alignment horizontal="left" vertical="center" wrapText="1"/>
    </xf>
    <xf numFmtId="0" fontId="0" fillId="0" borderId="1" xfId="0"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vertical="center"/>
    </xf>
    <xf numFmtId="0" fontId="0" fillId="0" borderId="0" xfId="0" applyAlignment="1">
      <alignment vertical="center"/>
    </xf>
    <xf numFmtId="0" fontId="2" fillId="0" borderId="0" xfId="1" applyFont="1" applyFill="1" applyBorder="1" applyAlignment="1" applyProtection="1">
      <alignment horizontal="center" vertical="center"/>
      <protection locked="0"/>
    </xf>
    <xf numFmtId="0" fontId="0" fillId="2" borderId="0" xfId="0" applyFill="1"/>
    <xf numFmtId="0" fontId="17" fillId="2" borderId="0" xfId="0" applyFont="1" applyFill="1"/>
    <xf numFmtId="0" fontId="5" fillId="2" borderId="0" xfId="0" applyFont="1" applyFill="1"/>
    <xf numFmtId="0" fontId="0" fillId="2" borderId="0" xfId="0" applyFill="1" applyBorder="1"/>
    <xf numFmtId="0" fontId="5" fillId="0" borderId="1" xfId="0" applyFont="1" applyBorder="1" applyAlignment="1">
      <alignment horizontal="center" vertical="center" wrapText="1"/>
    </xf>
    <xf numFmtId="0" fontId="0" fillId="0" borderId="1" xfId="0" applyBorder="1" applyAlignment="1">
      <alignment vertical="center" wrapText="1"/>
    </xf>
    <xf numFmtId="0" fontId="13" fillId="3" borderId="6" xfId="0" applyFont="1" applyFill="1" applyBorder="1" applyAlignment="1">
      <alignment horizontal="center" vertical="center"/>
    </xf>
    <xf numFmtId="0" fontId="14" fillId="3" borderId="6" xfId="0" applyFont="1" applyFill="1" applyBorder="1" applyAlignment="1">
      <alignment horizontal="center" vertical="center"/>
    </xf>
    <xf numFmtId="0" fontId="0" fillId="0" borderId="1" xfId="0" applyFont="1" applyFill="1" applyBorder="1" applyAlignment="1">
      <alignment horizontal="center" vertical="center"/>
    </xf>
    <xf numFmtId="0" fontId="6" fillId="0" borderId="7" xfId="0" applyFont="1" applyBorder="1" applyAlignment="1">
      <alignment horizontal="center" vertical="center"/>
    </xf>
    <xf numFmtId="0" fontId="2" fillId="0" borderId="1" xfId="1" applyFont="1" applyFill="1" applyBorder="1" applyAlignment="1" applyProtection="1">
      <alignment horizontal="center" vertical="center"/>
      <protection locked="0"/>
    </xf>
    <xf numFmtId="0" fontId="7" fillId="0" borderId="1" xfId="1" applyFont="1" applyFill="1" applyBorder="1" applyAlignment="1" applyProtection="1">
      <alignment horizontal="center" vertical="center"/>
      <protection locked="0"/>
    </xf>
    <xf numFmtId="0" fontId="0" fillId="0" borderId="1" xfId="0" applyFont="1" applyFill="1" applyBorder="1" applyAlignment="1">
      <alignment vertical="center" wrapText="1"/>
    </xf>
    <xf numFmtId="0" fontId="12" fillId="0" borderId="1" xfId="1" applyFont="1" applyFill="1" applyBorder="1" applyAlignment="1" applyProtection="1">
      <alignment vertical="center" wrapText="1"/>
      <protection locked="0"/>
    </xf>
    <xf numFmtId="0" fontId="6" fillId="3" borderId="6" xfId="0" applyFont="1" applyFill="1" applyBorder="1" applyAlignment="1">
      <alignment horizontal="center" vertical="center"/>
    </xf>
    <xf numFmtId="0" fontId="0" fillId="0" borderId="1" xfId="0" applyBorder="1" applyAlignment="1">
      <alignment vertical="center"/>
    </xf>
    <xf numFmtId="0" fontId="6" fillId="0" borderId="1" xfId="0" applyFont="1" applyFill="1" applyBorder="1" applyAlignment="1">
      <alignment horizontal="center" vertic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wrapText="1"/>
    </xf>
    <xf numFmtId="0" fontId="0" fillId="0" borderId="1" xfId="0" applyBorder="1"/>
    <xf numFmtId="0" fontId="2" fillId="0" borderId="0" xfId="1" applyFont="1" applyFill="1" applyBorder="1" applyAlignment="1" applyProtection="1">
      <alignment horizontal="center" vertical="center"/>
      <protection locked="0"/>
    </xf>
    <xf numFmtId="164"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0" fillId="0" borderId="0" xfId="0" applyNumberFormat="1"/>
    <xf numFmtId="0" fontId="6" fillId="0" borderId="0" xfId="0" applyNumberFormat="1" applyFont="1" applyBorder="1" applyAlignment="1">
      <alignment horizontal="center" vertical="center"/>
    </xf>
    <xf numFmtId="0" fontId="6" fillId="0" borderId="7" xfId="0" applyNumberFormat="1" applyFont="1" applyBorder="1" applyAlignment="1">
      <alignment horizontal="center" vertical="center"/>
    </xf>
    <xf numFmtId="0" fontId="6" fillId="0" borderId="4" xfId="0" applyNumberFormat="1" applyFont="1" applyBorder="1" applyAlignment="1">
      <alignment horizontal="center" vertical="center"/>
    </xf>
    <xf numFmtId="0" fontId="19" fillId="6" borderId="1" xfId="0" applyNumberFormat="1" applyFont="1" applyFill="1" applyBorder="1" applyAlignment="1">
      <alignment horizontal="center" vertical="center"/>
    </xf>
    <xf numFmtId="164" fontId="0" fillId="2" borderId="0" xfId="0" applyNumberFormat="1" applyFill="1"/>
    <xf numFmtId="0" fontId="20" fillId="6" borderId="1" xfId="0" applyFont="1" applyFill="1" applyBorder="1"/>
    <xf numFmtId="0" fontId="20" fillId="6" borderId="1" xfId="0" applyFont="1" applyFill="1" applyBorder="1" applyAlignment="1">
      <alignment vertical="center"/>
    </xf>
    <xf numFmtId="0" fontId="13" fillId="0" borderId="0" xfId="0" applyFont="1"/>
    <xf numFmtId="0" fontId="0" fillId="0" borderId="1" xfId="0" applyBorder="1" applyAlignment="1">
      <alignment vertical="top"/>
    </xf>
    <xf numFmtId="0" fontId="0" fillId="0" borderId="1" xfId="0" applyBorder="1" applyAlignment="1">
      <alignment vertical="top" wrapText="1"/>
    </xf>
    <xf numFmtId="0" fontId="2" fillId="0" borderId="0" xfId="1" applyFont="1" applyFill="1" applyBorder="1" applyAlignment="1" applyProtection="1">
      <alignment horizontal="center" vertical="center"/>
      <protection locked="0"/>
    </xf>
    <xf numFmtId="0" fontId="2" fillId="0" borderId="0" xfId="1" applyFont="1" applyFill="1" applyBorder="1" applyAlignment="1" applyProtection="1">
      <alignment horizontal="center" vertical="center"/>
      <protection locked="0"/>
    </xf>
    <xf numFmtId="0" fontId="22" fillId="0" borderId="1" xfId="0" applyFont="1" applyBorder="1" applyAlignment="1">
      <alignment horizontal="center" vertical="center"/>
    </xf>
    <xf numFmtId="0" fontId="23" fillId="0" borderId="1" xfId="2" applyFont="1" applyBorder="1" applyAlignment="1">
      <alignment horizontal="center" vertical="center"/>
    </xf>
    <xf numFmtId="0" fontId="23" fillId="0" borderId="1" xfId="2" applyFont="1" applyBorder="1" applyAlignment="1">
      <alignment horizontal="left" vertical="center"/>
    </xf>
    <xf numFmtId="0" fontId="0" fillId="0" borderId="0" xfId="0" applyAlignment="1">
      <alignment horizontal="center"/>
    </xf>
    <xf numFmtId="0" fontId="0" fillId="0" borderId="0" xfId="0" applyBorder="1" applyAlignment="1">
      <alignment horizontal="center" vertical="center"/>
    </xf>
    <xf numFmtId="0" fontId="24" fillId="2" borderId="0" xfId="0" applyFont="1" applyFill="1"/>
    <xf numFmtId="164" fontId="24" fillId="2" borderId="0" xfId="0" applyNumberFormat="1" applyFont="1" applyFill="1"/>
    <xf numFmtId="0" fontId="0" fillId="0" borderId="1" xfId="0" applyFill="1" applyBorder="1"/>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6" fillId="0" borderId="1" xfId="0" applyFont="1" applyBorder="1" applyAlignment="1">
      <alignment vertical="center" wrapText="1"/>
    </xf>
    <xf numFmtId="0" fontId="27" fillId="0" borderId="1" xfId="0" applyFont="1" applyBorder="1" applyAlignment="1">
      <alignment vertical="center" wrapText="1"/>
    </xf>
    <xf numFmtId="0" fontId="5" fillId="0" borderId="1" xfId="0" applyFont="1" applyFill="1" applyBorder="1"/>
    <xf numFmtId="0" fontId="28" fillId="7" borderId="1" xfId="1" applyFont="1" applyFill="1" applyBorder="1" applyAlignment="1" applyProtection="1">
      <alignment horizontal="center" vertical="center"/>
      <protection locked="0"/>
    </xf>
    <xf numFmtId="0" fontId="13" fillId="7" borderId="0" xfId="0" applyFont="1" applyFill="1" applyBorder="1" applyAlignment="1">
      <alignment horizontal="center" vertical="center"/>
    </xf>
    <xf numFmtId="0" fontId="13" fillId="7" borderId="1" xfId="0" applyFont="1" applyFill="1" applyBorder="1" applyAlignment="1">
      <alignment vertical="center" wrapText="1"/>
    </xf>
    <xf numFmtId="0" fontId="5" fillId="0" borderId="1" xfId="0" applyFont="1" applyBorder="1" applyAlignment="1">
      <alignment horizontal="center" vertical="center"/>
    </xf>
    <xf numFmtId="0" fontId="25" fillId="7" borderId="1" xfId="0" applyFont="1" applyFill="1" applyBorder="1" applyAlignment="1">
      <alignment horizontal="center" vertical="center"/>
    </xf>
    <xf numFmtId="0" fontId="29" fillId="0" borderId="1" xfId="2" applyFont="1" applyBorder="1" applyAlignment="1">
      <alignment horizontal="center" vertical="center"/>
    </xf>
    <xf numFmtId="0" fontId="28" fillId="7" borderId="4" xfId="1" applyFont="1" applyFill="1" applyBorder="1" applyAlignment="1" applyProtection="1">
      <alignment horizontal="center" vertical="center"/>
      <protection locked="0"/>
    </xf>
    <xf numFmtId="0" fontId="13" fillId="7" borderId="4" xfId="0" applyFont="1" applyFill="1" applyBorder="1" applyAlignment="1">
      <alignment vertical="top"/>
    </xf>
    <xf numFmtId="0" fontId="13" fillId="7" borderId="4" xfId="0" applyFont="1" applyFill="1" applyBorder="1" applyAlignment="1">
      <alignment vertical="center" wrapText="1"/>
    </xf>
    <xf numFmtId="0" fontId="13" fillId="7" borderId="4" xfId="0" applyFont="1" applyFill="1" applyBorder="1" applyAlignment="1">
      <alignment horizontal="center" vertical="center"/>
    </xf>
    <xf numFmtId="0" fontId="13" fillId="7" borderId="1" xfId="0" applyFont="1" applyFill="1" applyBorder="1" applyAlignment="1">
      <alignment horizontal="center" vertical="center"/>
    </xf>
    <xf numFmtId="0" fontId="30" fillId="4" borderId="1" xfId="0" applyFont="1" applyFill="1" applyBorder="1" applyAlignment="1">
      <alignment horizontal="left" vertical="center" wrapText="1"/>
    </xf>
    <xf numFmtId="0" fontId="19" fillId="6" borderId="1" xfId="0" applyFont="1" applyFill="1" applyBorder="1" applyAlignment="1">
      <alignment horizontal="center" vertical="center"/>
    </xf>
    <xf numFmtId="0" fontId="6" fillId="0" borderId="3" xfId="0" applyFont="1" applyFill="1" applyBorder="1" applyAlignment="1">
      <alignment horizontal="center" vertical="center"/>
    </xf>
    <xf numFmtId="0" fontId="0" fillId="0" borderId="3" xfId="0" applyFill="1" applyBorder="1" applyAlignment="1">
      <alignment horizontal="center" vertical="center"/>
    </xf>
    <xf numFmtId="0" fontId="0" fillId="0" borderId="3" xfId="0" applyFont="1" applyFill="1" applyBorder="1" applyAlignment="1">
      <alignment horizontal="center" vertical="center"/>
    </xf>
    <xf numFmtId="0" fontId="0" fillId="0" borderId="3" xfId="0"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0" fontId="6" fillId="0" borderId="1" xfId="0" applyFont="1" applyBorder="1" applyAlignment="1">
      <alignment horizontal="center"/>
    </xf>
    <xf numFmtId="0" fontId="6" fillId="0" borderId="4" xfId="0" applyFont="1" applyFill="1" applyBorder="1" applyAlignment="1">
      <alignment horizontal="left" vertical="center"/>
    </xf>
    <xf numFmtId="0" fontId="6" fillId="0" borderId="4" xfId="0" applyFont="1" applyBorder="1" applyAlignment="1">
      <alignment horizontal="left" vertical="center"/>
    </xf>
    <xf numFmtId="0" fontId="6" fillId="0" borderId="8" xfId="0" applyFont="1" applyBorder="1" applyAlignment="1">
      <alignment horizontal="left" vertical="center"/>
    </xf>
    <xf numFmtId="0" fontId="11" fillId="0" borderId="1" xfId="0" applyFont="1" applyFill="1" applyBorder="1" applyAlignment="1">
      <alignment horizontal="center" vertical="center" wrapText="1"/>
    </xf>
    <xf numFmtId="0" fontId="6" fillId="3" borderId="6" xfId="0" applyFont="1" applyFill="1" applyBorder="1" applyAlignment="1">
      <alignment vertical="center"/>
    </xf>
    <xf numFmtId="0" fontId="6" fillId="0" borderId="6" xfId="0" applyFont="1" applyFill="1" applyBorder="1" applyAlignment="1">
      <alignment vertical="center"/>
    </xf>
    <xf numFmtId="0" fontId="6" fillId="0" borderId="5" xfId="0" applyFont="1" applyFill="1" applyBorder="1" applyAlignment="1">
      <alignment vertical="center"/>
    </xf>
    <xf numFmtId="0" fontId="6" fillId="0" borderId="0" xfId="0" applyFont="1" applyBorder="1" applyAlignment="1">
      <alignment vertical="center"/>
    </xf>
    <xf numFmtId="0" fontId="6" fillId="0" borderId="9" xfId="0" applyFont="1" applyBorder="1" applyAlignment="1">
      <alignment vertical="center"/>
    </xf>
    <xf numFmtId="0" fontId="6" fillId="0" borderId="1" xfId="0" applyFont="1" applyFill="1" applyBorder="1" applyAlignment="1">
      <alignment horizontal="left" vertical="center"/>
    </xf>
    <xf numFmtId="0" fontId="6" fillId="0" borderId="1" xfId="0" applyFont="1" applyBorder="1" applyAlignment="1">
      <alignment horizontal="left" vertical="center"/>
    </xf>
    <xf numFmtId="0" fontId="14" fillId="3" borderId="6" xfId="0" applyFont="1" applyFill="1" applyBorder="1" applyAlignment="1">
      <alignment horizontal="left" vertical="center"/>
    </xf>
    <xf numFmtId="0" fontId="5" fillId="3" borderId="6" xfId="0" applyFont="1" applyFill="1" applyBorder="1" applyAlignment="1">
      <alignment horizontal="center" vertical="center"/>
    </xf>
    <xf numFmtId="0" fontId="18" fillId="3" borderId="6" xfId="2" applyFont="1" applyFill="1" applyBorder="1" applyAlignment="1" applyProtection="1">
      <alignment horizontal="center" vertical="center"/>
    </xf>
    <xf numFmtId="0" fontId="18" fillId="3" borderId="6" xfId="0" applyFont="1" applyFill="1" applyBorder="1" applyAlignment="1">
      <alignment horizontal="center" vertical="center"/>
    </xf>
    <xf numFmtId="0" fontId="0" fillId="0" borderId="1" xfId="0" applyFill="1" applyBorder="1" applyAlignment="1">
      <alignment vertical="top" wrapText="1"/>
    </xf>
    <xf numFmtId="0" fontId="0" fillId="5" borderId="0" xfId="0" applyFill="1" applyAlignment="1">
      <alignment horizontal="center"/>
    </xf>
    <xf numFmtId="0" fontId="15" fillId="2" borderId="0" xfId="0" applyFont="1" applyFill="1" applyAlignment="1">
      <alignment horizontal="center" vertical="center"/>
    </xf>
    <xf numFmtId="0" fontId="16" fillId="2" borderId="0" xfId="0" applyFont="1" applyFill="1" applyAlignment="1">
      <alignment horizontal="center" vertical="center"/>
    </xf>
    <xf numFmtId="0" fontId="2" fillId="0" borderId="0" xfId="1" applyFont="1" applyFill="1" applyBorder="1" applyAlignment="1" applyProtection="1">
      <alignment horizontal="center" vertical="center"/>
      <protection locked="0"/>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8" fillId="0" borderId="0" xfId="1" applyFont="1" applyFill="1" applyBorder="1" applyAlignment="1" applyProtection="1">
      <alignment horizontal="center" vertical="center"/>
      <protection locked="0"/>
    </xf>
    <xf numFmtId="0" fontId="3" fillId="0" borderId="1" xfId="0" applyFont="1" applyBorder="1" applyAlignment="1">
      <alignment horizontal="center" vertical="center"/>
    </xf>
  </cellXfs>
  <cellStyles count="4">
    <cellStyle name="Hyperlink" xfId="2" builtinId="8"/>
    <cellStyle name="Normal" xfId="0" builtinId="0"/>
    <cellStyle name="Normal 2" xfId="3" xr:uid="{3569DBC9-CE2E-42DE-AAF9-C0993E6910A2}"/>
    <cellStyle name="Normal 3" xfId="1" xr:uid="{8018F0FB-9723-4E11-ABE2-11829B0CE1C2}"/>
  </cellStyles>
  <dxfs count="107">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sz val="16"/>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6"/>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dxf>
    <dxf>
      <border>
        <bottom style="thin">
          <color indexed="64"/>
        </bottom>
      </border>
    </dxf>
    <dxf>
      <font>
        <b val="0"/>
        <i/>
        <strike val="0"/>
        <condense val="0"/>
        <extend val="0"/>
        <outline val="0"/>
        <shadow val="0"/>
        <u val="none"/>
        <vertAlign val="baseline"/>
        <sz val="16"/>
        <color rgb="FF222222"/>
        <name val="Cambria"/>
        <family val="1"/>
        <scheme val="none"/>
      </font>
      <fill>
        <patternFill patternType="solid">
          <fgColor indexed="64"/>
          <bgColor rgb="FFFFFFFF"/>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sz val="16"/>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6"/>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6"/>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7"/>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7"/>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7"/>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7"/>
        <color theme="0"/>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dxf>
    <dxf>
      <font>
        <b/>
        <sz val="16"/>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border>
    </dxf>
    <dxf>
      <border outline="0">
        <left style="thin">
          <color rgb="FF000000"/>
        </left>
        <top style="thin">
          <color rgb="FF000000"/>
        </top>
        <bottom style="thin">
          <color rgb="FF000000"/>
        </bottom>
      </border>
    </dxf>
    <dxf>
      <border outline="0">
        <bottom style="thin">
          <color rgb="FF000000"/>
        </bottom>
      </border>
    </dxf>
  </dxfs>
  <tableStyles count="0" defaultTableStyle="TableStyleMedium2" defaultPivotStyle="PivotStyleLight16"/>
  <colors>
    <mruColors>
      <color rgb="FF1919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ynth&#233;se!A1"/><Relationship Id="rId3" Type="http://schemas.openxmlformats.org/officeDocument/2006/relationships/hyperlink" Target="#'Exigences ISO-DIS 9001 vr 2025'!A1"/><Relationship Id="rId7" Type="http://schemas.openxmlformats.org/officeDocument/2006/relationships/hyperlink" Target="#'Exigences Commun'!A1"/><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hyperlink" Target="#'Exigences Spec ISO 27001'!A1"/><Relationship Id="rId5" Type="http://schemas.openxmlformats.org/officeDocument/2006/relationships/image" Target="../media/image3.png"/><Relationship Id="rId15" Type="http://schemas.openxmlformats.org/officeDocument/2006/relationships/image" Target="../media/image9.svg"/><Relationship Id="rId10" Type="http://schemas.openxmlformats.org/officeDocument/2006/relationships/image" Target="../media/image6.png"/><Relationship Id="rId4" Type="http://schemas.openxmlformats.org/officeDocument/2006/relationships/hyperlink" Target="#'Page de garde'!A1"/><Relationship Id="rId9" Type="http://schemas.openxmlformats.org/officeDocument/2006/relationships/hyperlink" Target="#'Exigences ISO-DS 9001 vr 2025'!A1"/><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9.svg"/><Relationship Id="rId3" Type="http://schemas.openxmlformats.org/officeDocument/2006/relationships/image" Target="../media/image4.svg"/><Relationship Id="rId7" Type="http://schemas.openxmlformats.org/officeDocument/2006/relationships/hyperlink" Target="#'Exigences ISO-DIS 9001 vr 2025'!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Page de garde'!A1"/><Relationship Id="rId6" Type="http://schemas.openxmlformats.org/officeDocument/2006/relationships/hyperlink" Target="#'Exigences ISO-DS 9001 vr 2025'!A1"/><Relationship Id="rId11" Type="http://schemas.openxmlformats.org/officeDocument/2006/relationships/hyperlink" Target="#Synth&#233;se!A1"/><Relationship Id="rId5" Type="http://schemas.openxmlformats.org/officeDocument/2006/relationships/image" Target="../media/image10.png"/><Relationship Id="rId10" Type="http://schemas.openxmlformats.org/officeDocument/2006/relationships/image" Target="../media/image12.png"/><Relationship Id="rId4" Type="http://schemas.openxmlformats.org/officeDocument/2006/relationships/hyperlink" Target="#'Exigences Commun'!A1"/><Relationship Id="rId9" Type="http://schemas.openxmlformats.org/officeDocument/2006/relationships/hyperlink" Target="#'Exigences Spec ISO 27001'!A1"/></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9.svg"/><Relationship Id="rId3" Type="http://schemas.openxmlformats.org/officeDocument/2006/relationships/image" Target="../media/image4.svg"/><Relationship Id="rId7" Type="http://schemas.openxmlformats.org/officeDocument/2006/relationships/hyperlink" Target="#'Exigences ISO-DIS 9001 vr 2025'!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Page de garde'!A1"/><Relationship Id="rId6" Type="http://schemas.openxmlformats.org/officeDocument/2006/relationships/hyperlink" Target="#'Exigences ISO-DS 9001 vr 2025'!A1"/><Relationship Id="rId11" Type="http://schemas.openxmlformats.org/officeDocument/2006/relationships/hyperlink" Target="#Synth&#233;se!A1"/><Relationship Id="rId5" Type="http://schemas.openxmlformats.org/officeDocument/2006/relationships/image" Target="../media/image13.png"/><Relationship Id="rId10" Type="http://schemas.openxmlformats.org/officeDocument/2006/relationships/image" Target="../media/image15.png"/><Relationship Id="rId4" Type="http://schemas.openxmlformats.org/officeDocument/2006/relationships/hyperlink" Target="#'Exigences Commun'!A1"/><Relationship Id="rId9" Type="http://schemas.openxmlformats.org/officeDocument/2006/relationships/hyperlink" Target="#'Exigences Spec ISO 27001'!A1"/></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9.svg"/><Relationship Id="rId3" Type="http://schemas.openxmlformats.org/officeDocument/2006/relationships/image" Target="../media/image4.svg"/><Relationship Id="rId7" Type="http://schemas.openxmlformats.org/officeDocument/2006/relationships/hyperlink" Target="#'Exigences ISO-DIS 9001 vr 2025'!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Page de garde'!A1"/><Relationship Id="rId6" Type="http://schemas.openxmlformats.org/officeDocument/2006/relationships/hyperlink" Target="#'Exigences ISO-DS 9001 vr 2025'!A1"/><Relationship Id="rId11" Type="http://schemas.openxmlformats.org/officeDocument/2006/relationships/hyperlink" Target="#Synth&#233;se!A1"/><Relationship Id="rId5" Type="http://schemas.openxmlformats.org/officeDocument/2006/relationships/image" Target="../media/image5.png"/><Relationship Id="rId10" Type="http://schemas.openxmlformats.org/officeDocument/2006/relationships/image" Target="../media/image7.png"/><Relationship Id="rId4" Type="http://schemas.openxmlformats.org/officeDocument/2006/relationships/hyperlink" Target="#'Exigences Commun'!A1"/><Relationship Id="rId9" Type="http://schemas.openxmlformats.org/officeDocument/2006/relationships/hyperlink" Target="#'Exigences Spec ISO 27001'!A1"/></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9.svg"/><Relationship Id="rId3" Type="http://schemas.openxmlformats.org/officeDocument/2006/relationships/image" Target="../media/image4.svg"/><Relationship Id="rId7" Type="http://schemas.openxmlformats.org/officeDocument/2006/relationships/hyperlink" Target="#'Exigences ISO-DIS 9001 vr 2025'!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Page de garde'!A1"/><Relationship Id="rId6" Type="http://schemas.openxmlformats.org/officeDocument/2006/relationships/hyperlink" Target="#'Exigences ISO-DS 9001 vr 2025'!A1"/><Relationship Id="rId11" Type="http://schemas.openxmlformats.org/officeDocument/2006/relationships/hyperlink" Target="#Synth&#233;se!A1"/><Relationship Id="rId5" Type="http://schemas.openxmlformats.org/officeDocument/2006/relationships/image" Target="../media/image5.png"/><Relationship Id="rId10" Type="http://schemas.openxmlformats.org/officeDocument/2006/relationships/image" Target="../media/image17.png"/><Relationship Id="rId4" Type="http://schemas.openxmlformats.org/officeDocument/2006/relationships/hyperlink" Target="#'Exigences Commun'!A1"/><Relationship Id="rId9" Type="http://schemas.openxmlformats.org/officeDocument/2006/relationships/hyperlink" Target="#'Exigences Spec ISO 27001'!A1"/></Relationships>
</file>

<file path=xl/drawings/drawing1.xml><?xml version="1.0" encoding="utf-8"?>
<xdr:wsDr xmlns:xdr="http://schemas.openxmlformats.org/drawingml/2006/spreadsheetDrawing" xmlns:a="http://schemas.openxmlformats.org/drawingml/2006/main">
  <xdr:twoCellAnchor>
    <xdr:from>
      <xdr:col>0</xdr:col>
      <xdr:colOff>570547</xdr:colOff>
      <xdr:row>6</xdr:row>
      <xdr:rowOff>60960</xdr:rowOff>
    </xdr:from>
    <xdr:to>
      <xdr:col>22</xdr:col>
      <xdr:colOff>503725</xdr:colOff>
      <xdr:row>8</xdr:row>
      <xdr:rowOff>735725</xdr:rowOff>
    </xdr:to>
    <xdr:sp macro="" textlink="">
      <xdr:nvSpPr>
        <xdr:cNvPr id="2" name="Rectangle: Rounded Corners 1">
          <a:extLst>
            <a:ext uri="{FF2B5EF4-FFF2-40B4-BE49-F238E27FC236}">
              <a16:creationId xmlns:a16="http://schemas.microsoft.com/office/drawing/2014/main" id="{E7624910-91F5-44CF-B5A9-DB4544FFD0EC}"/>
            </a:ext>
          </a:extLst>
        </xdr:cNvPr>
        <xdr:cNvSpPr/>
      </xdr:nvSpPr>
      <xdr:spPr>
        <a:xfrm>
          <a:off x="570547" y="2412650"/>
          <a:ext cx="20967006" cy="243524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fr-FR" sz="2000" i="1">
            <a:latin typeface="Times New Roman" panose="02020603050405020304" pitchFamily="18" charset="0"/>
            <a:cs typeface="Times New Roman" panose="02020603050405020304" pitchFamily="18" charset="0"/>
          </a:endParaRPr>
        </a:p>
        <a:p>
          <a:pPr algn="l"/>
          <a:r>
            <a:rPr lang="fr-FR" sz="2000" i="1">
              <a:latin typeface="Times New Roman" panose="02020603050405020304" pitchFamily="18" charset="0"/>
              <a:cs typeface="Times New Roman" panose="02020603050405020304" pitchFamily="18" charset="0"/>
            </a:rPr>
            <a:t>Dans le cadre du diagnostic du Système de Management Intégré (SMI), un outil d’évaluation a été élaboré ce fichier Excel afin de structurer et d’objectiver le revue documentaire des exigences des normes ISO 9001 ( draft DIS ISO 9001 version 2025) et ISO 27001. Cet outil est organisé en plusieurs feuilles, dont deux feuilles principales dédiées respectivement à chaque norme, dans lesquelles les exigences normatives sont listées et évaluées selon un niveau de conformité prédéfini ci-dessous, accompagné de commentaires justificatifs et de preuves issues de la revue documentaire et des informations collectées via le système Qualipro, incluant la documentation disponible et les éléments liés à la digitalisation du système. Une feuille de synthèse regroupe l’ensemble des résultats afin d’offrir une vision globale du niveau de conformité du SMI, faciliter l’identification des écarts et servir de base pour l’analyse critique de la méthodologie existante ainsi que pour la suite du diagnostic et l’élaboration des recommandations.</a:t>
          </a:r>
        </a:p>
        <a:p>
          <a:pPr algn="l"/>
          <a:endParaRPr lang="fr-FR" sz="2000" i="1">
            <a:latin typeface="Times New Roman" panose="02020603050405020304" pitchFamily="18" charset="0"/>
            <a:cs typeface="Times New Roman" panose="02020603050405020304" pitchFamily="18" charset="0"/>
          </a:endParaRPr>
        </a:p>
        <a:p>
          <a:pPr algn="l"/>
          <a:endParaRPr lang="fr-FR" sz="2000" i="1">
            <a:latin typeface="Times New Roman" panose="02020603050405020304" pitchFamily="18" charset="0"/>
            <a:cs typeface="Times New Roman" panose="02020603050405020304" pitchFamily="18" charset="0"/>
          </a:endParaRPr>
        </a:p>
        <a:p>
          <a:pPr algn="l"/>
          <a:endParaRPr lang="fr-TN" sz="2000" i="1">
            <a:latin typeface="Times New Roman" panose="02020603050405020304" pitchFamily="18" charset="0"/>
            <a:cs typeface="Times New Roman" panose="02020603050405020304" pitchFamily="18" charset="0"/>
          </a:endParaRPr>
        </a:p>
      </xdr:txBody>
    </xdr:sp>
    <xdr:clientData/>
  </xdr:twoCellAnchor>
  <xdr:twoCellAnchor>
    <xdr:from>
      <xdr:col>12</xdr:col>
      <xdr:colOff>322386</xdr:colOff>
      <xdr:row>4</xdr:row>
      <xdr:rowOff>146538</xdr:rowOff>
    </xdr:from>
    <xdr:to>
      <xdr:col>16</xdr:col>
      <xdr:colOff>542193</xdr:colOff>
      <xdr:row>5</xdr:row>
      <xdr:rowOff>718038</xdr:rowOff>
    </xdr:to>
    <xdr:sp macro="" textlink="">
      <xdr:nvSpPr>
        <xdr:cNvPr id="18" name="Rectangle: Rounded Corners 17">
          <a:extLst>
            <a:ext uri="{FF2B5EF4-FFF2-40B4-BE49-F238E27FC236}">
              <a16:creationId xmlns:a16="http://schemas.microsoft.com/office/drawing/2014/main" id="{1AA74D11-7B0E-4A0C-A540-74D5E6FA9525}"/>
            </a:ext>
          </a:extLst>
        </xdr:cNvPr>
        <xdr:cNvSpPr/>
      </xdr:nvSpPr>
      <xdr:spPr>
        <a:xfrm>
          <a:off x="7637586" y="1533378"/>
          <a:ext cx="2658207" cy="7543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latin typeface="Amasis MT Pro" panose="020B0604020202020204" pitchFamily="18" charset="0"/>
            </a:rPr>
            <a:t>Réalisé par : Errachid Alaaeddine</a:t>
          </a:r>
          <a:endParaRPr lang="fr-TN" sz="1400" b="1" i="1">
            <a:latin typeface="Amasis MT Pro" panose="020B0604020202020204" pitchFamily="18" charset="0"/>
          </a:endParaRPr>
        </a:p>
      </xdr:txBody>
    </xdr:sp>
    <xdr:clientData/>
  </xdr:twoCellAnchor>
  <xdr:twoCellAnchor editAs="oneCell">
    <xdr:from>
      <xdr:col>18</xdr:col>
      <xdr:colOff>87924</xdr:colOff>
      <xdr:row>0</xdr:row>
      <xdr:rowOff>102578</xdr:rowOff>
    </xdr:from>
    <xdr:to>
      <xdr:col>19</xdr:col>
      <xdr:colOff>58617</xdr:colOff>
      <xdr:row>0</xdr:row>
      <xdr:rowOff>688732</xdr:rowOff>
    </xdr:to>
    <xdr:pic>
      <xdr:nvPicPr>
        <xdr:cNvPr id="27" name="Graphic 26" descr="Postit Notes outline">
          <a:extLst>
            <a:ext uri="{FF2B5EF4-FFF2-40B4-BE49-F238E27FC236}">
              <a16:creationId xmlns:a16="http://schemas.microsoft.com/office/drawing/2014/main" id="{A955AB32-6D86-4F3E-818A-ADA5787363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060724" y="102578"/>
          <a:ext cx="580293" cy="586154"/>
        </a:xfrm>
        <a:prstGeom prst="rect">
          <a:avLst/>
        </a:prstGeom>
      </xdr:spPr>
    </xdr:pic>
    <xdr:clientData/>
  </xdr:twoCellAnchor>
  <xdr:twoCellAnchor>
    <xdr:from>
      <xdr:col>0</xdr:col>
      <xdr:colOff>0</xdr:colOff>
      <xdr:row>0</xdr:row>
      <xdr:rowOff>0</xdr:rowOff>
    </xdr:from>
    <xdr:to>
      <xdr:col>19</xdr:col>
      <xdr:colOff>411877</xdr:colOff>
      <xdr:row>0</xdr:row>
      <xdr:rowOff>833438</xdr:rowOff>
    </xdr:to>
    <xdr:grpSp>
      <xdr:nvGrpSpPr>
        <xdr:cNvPr id="25" name="Group 24">
          <a:hlinkClick xmlns:r="http://schemas.openxmlformats.org/officeDocument/2006/relationships" r:id="rId3"/>
          <a:extLst>
            <a:ext uri="{FF2B5EF4-FFF2-40B4-BE49-F238E27FC236}">
              <a16:creationId xmlns:a16="http://schemas.microsoft.com/office/drawing/2014/main" id="{5CB8A621-A658-4B3B-9CA1-004662FDB7D4}"/>
            </a:ext>
          </a:extLst>
        </xdr:cNvPr>
        <xdr:cNvGrpSpPr/>
      </xdr:nvGrpSpPr>
      <xdr:grpSpPr>
        <a:xfrm>
          <a:off x="0" y="0"/>
          <a:ext cx="19632670" cy="833438"/>
          <a:chOff x="0" y="0"/>
          <a:chExt cx="17346670" cy="833438"/>
        </a:xfrm>
      </xdr:grpSpPr>
      <xdr:pic>
        <xdr:nvPicPr>
          <xdr:cNvPr id="4" name="Graphic 3" descr="Home with solid fill">
            <a:hlinkClick xmlns:r="http://schemas.openxmlformats.org/officeDocument/2006/relationships" r:id="rId4"/>
            <a:extLst>
              <a:ext uri="{FF2B5EF4-FFF2-40B4-BE49-F238E27FC236}">
                <a16:creationId xmlns:a16="http://schemas.microsoft.com/office/drawing/2014/main" id="{A588FFAE-8FE6-4DCE-9810-51E2533CAB0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0" y="0"/>
            <a:ext cx="826595" cy="833438"/>
          </a:xfrm>
          <a:prstGeom prst="rect">
            <a:avLst/>
          </a:prstGeom>
        </xdr:spPr>
      </xdr:pic>
      <xdr:grpSp>
        <xdr:nvGrpSpPr>
          <xdr:cNvPr id="11" name="Group 10">
            <a:hlinkClick xmlns:r="http://schemas.openxmlformats.org/officeDocument/2006/relationships" r:id="rId7"/>
            <a:extLst>
              <a:ext uri="{FF2B5EF4-FFF2-40B4-BE49-F238E27FC236}">
                <a16:creationId xmlns:a16="http://schemas.microsoft.com/office/drawing/2014/main" id="{6E0CDDA8-2318-4E9D-8E65-E9A4D4DD1724}"/>
              </a:ext>
            </a:extLst>
          </xdr:cNvPr>
          <xdr:cNvGrpSpPr/>
        </xdr:nvGrpSpPr>
        <xdr:grpSpPr>
          <a:xfrm>
            <a:off x="1645254" y="126998"/>
            <a:ext cx="2760060" cy="627064"/>
            <a:chOff x="2198689" y="952498"/>
            <a:chExt cx="2770188" cy="627064"/>
          </a:xfrm>
        </xdr:grpSpPr>
        <xdr:sp macro="" textlink="">
          <xdr:nvSpPr>
            <xdr:cNvPr id="10" name="Rectangle: Rounded Corners 9">
              <a:extLst>
                <a:ext uri="{FF2B5EF4-FFF2-40B4-BE49-F238E27FC236}">
                  <a16:creationId xmlns:a16="http://schemas.microsoft.com/office/drawing/2014/main" id="{517D7061-2E44-4715-9E86-3221694BB407}"/>
                </a:ext>
              </a:extLst>
            </xdr:cNvPr>
            <xdr:cNvSpPr/>
          </xdr:nvSpPr>
          <xdr:spPr>
            <a:xfrm>
              <a:off x="2198689" y="952500"/>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Commune</a:t>
              </a:r>
              <a:endParaRPr lang="fr-TN" sz="1200" b="1">
                <a:latin typeface="Arial" panose="020B0604020202020204" pitchFamily="34" charset="0"/>
                <a:cs typeface="Arial" panose="020B0604020202020204" pitchFamily="34" charset="0"/>
              </a:endParaRPr>
            </a:p>
          </xdr:txBody>
        </xdr:sp>
        <xdr:sp macro="" textlink="">
          <xdr:nvSpPr>
            <xdr:cNvPr id="5" name="Rectangle 4">
              <a:extLst>
                <a:ext uri="{FF2B5EF4-FFF2-40B4-BE49-F238E27FC236}">
                  <a16:creationId xmlns:a16="http://schemas.microsoft.com/office/drawing/2014/main" id="{8A94DB84-02CD-4BBF-B395-FE8E9471B9B2}"/>
                </a:ext>
              </a:extLst>
            </xdr:cNvPr>
            <xdr:cNvSpPr/>
          </xdr:nvSpPr>
          <xdr:spPr>
            <a:xfrm>
              <a:off x="2230435" y="952498"/>
              <a:ext cx="746127" cy="627064"/>
            </a:xfrm>
            <a:prstGeom prst="rect">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l="-54668" t="-81482" r="-60000" b="-118768"/>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12" name="Group 11">
            <a:hlinkClick xmlns:r="http://schemas.openxmlformats.org/officeDocument/2006/relationships" r:id="rId9"/>
            <a:extLst>
              <a:ext uri="{FF2B5EF4-FFF2-40B4-BE49-F238E27FC236}">
                <a16:creationId xmlns:a16="http://schemas.microsoft.com/office/drawing/2014/main" id="{E4C5653D-0204-4B2F-9FA8-A5AFA05DD9A8}"/>
              </a:ext>
            </a:extLst>
          </xdr:cNvPr>
          <xdr:cNvGrpSpPr/>
        </xdr:nvGrpSpPr>
        <xdr:grpSpPr>
          <a:xfrm>
            <a:off x="4623456" y="18886"/>
            <a:ext cx="4796387" cy="737312"/>
            <a:chOff x="2436813" y="912812"/>
            <a:chExt cx="4795839" cy="731838"/>
          </a:xfrm>
        </xdr:grpSpPr>
        <xdr:sp macro="" textlink="">
          <xdr:nvSpPr>
            <xdr:cNvPr id="15" name="Rectangle: Rounded Corners 14">
              <a:extLst>
                <a:ext uri="{FF2B5EF4-FFF2-40B4-BE49-F238E27FC236}">
                  <a16:creationId xmlns:a16="http://schemas.microsoft.com/office/drawing/2014/main" id="{A3DAFDD5-5A75-4491-8F2A-005948320123}"/>
                </a:ext>
              </a:extLst>
            </xdr:cNvPr>
            <xdr:cNvSpPr/>
          </xdr:nvSpPr>
          <xdr:spPr>
            <a:xfrm>
              <a:off x="2436813" y="1025525"/>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ISO-DIS 9001 vr 2025</a:t>
              </a:r>
              <a:endParaRPr lang="fr-TN" sz="1200" b="1">
                <a:latin typeface="Arial" panose="020B0604020202020204" pitchFamily="34" charset="0"/>
                <a:cs typeface="Arial" panose="020B0604020202020204" pitchFamily="34" charset="0"/>
              </a:endParaRPr>
            </a:p>
          </xdr:txBody>
        </xdr:sp>
        <xdr:sp macro="" textlink="">
          <xdr:nvSpPr>
            <xdr:cNvPr id="8" name="Rectangle 7">
              <a:extLst>
                <a:ext uri="{FF2B5EF4-FFF2-40B4-BE49-F238E27FC236}">
                  <a16:creationId xmlns:a16="http://schemas.microsoft.com/office/drawing/2014/main" id="{831DBE2D-BF71-474E-B508-2D5F600833C3}"/>
                </a:ext>
              </a:extLst>
            </xdr:cNvPr>
            <xdr:cNvSpPr/>
          </xdr:nvSpPr>
          <xdr:spPr>
            <a:xfrm>
              <a:off x="2524127" y="912812"/>
              <a:ext cx="1492250" cy="698500"/>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8197" t="-95450" r="-9398" b="-11636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13" name="Group 12">
            <a:hlinkClick xmlns:r="http://schemas.openxmlformats.org/officeDocument/2006/relationships" r:id="rId11"/>
            <a:extLst>
              <a:ext uri="{FF2B5EF4-FFF2-40B4-BE49-F238E27FC236}">
                <a16:creationId xmlns:a16="http://schemas.microsoft.com/office/drawing/2014/main" id="{0D03AD6F-B23E-4425-8A5D-2929A38A3DEA}"/>
              </a:ext>
            </a:extLst>
          </xdr:cNvPr>
          <xdr:cNvGrpSpPr/>
        </xdr:nvGrpSpPr>
        <xdr:grpSpPr>
          <a:xfrm>
            <a:off x="9590907" y="106474"/>
            <a:ext cx="4796387" cy="643373"/>
            <a:chOff x="3089275" y="2730502"/>
            <a:chExt cx="4795839" cy="646110"/>
          </a:xfrm>
        </xdr:grpSpPr>
        <xdr:sp macro="" textlink="">
          <xdr:nvSpPr>
            <xdr:cNvPr id="20" name="Rectangle: Rounded Corners 19">
              <a:extLst>
                <a:ext uri="{FF2B5EF4-FFF2-40B4-BE49-F238E27FC236}">
                  <a16:creationId xmlns:a16="http://schemas.microsoft.com/office/drawing/2014/main" id="{982855E5-D134-42AF-AA52-490F844F1B2D}"/>
                </a:ext>
              </a:extLst>
            </xdr:cNvPr>
            <xdr:cNvSpPr/>
          </xdr:nvSpPr>
          <xdr:spPr>
            <a:xfrm>
              <a:off x="3089275" y="2757487"/>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Spec ISO 27001</a:t>
              </a:r>
              <a:endParaRPr lang="fr-TN" sz="1200" b="1">
                <a:latin typeface="Arial" panose="020B0604020202020204" pitchFamily="34" charset="0"/>
                <a:cs typeface="Arial" panose="020B0604020202020204" pitchFamily="34" charset="0"/>
              </a:endParaRPr>
            </a:p>
          </xdr:txBody>
        </xdr:sp>
        <xdr:sp macro="" textlink="">
          <xdr:nvSpPr>
            <xdr:cNvPr id="9" name="Rectangle 8">
              <a:extLst>
                <a:ext uri="{FF2B5EF4-FFF2-40B4-BE49-F238E27FC236}">
                  <a16:creationId xmlns:a16="http://schemas.microsoft.com/office/drawing/2014/main" id="{45FAC753-E0E0-4C76-ACFC-2E1457038583}"/>
                </a:ext>
              </a:extLst>
            </xdr:cNvPr>
            <xdr:cNvSpPr/>
          </xdr:nvSpPr>
          <xdr:spPr>
            <a:xfrm>
              <a:off x="3167063" y="2730502"/>
              <a:ext cx="1333500" cy="603249"/>
            </a:xfrm>
            <a:prstGeom prst="rect">
              <a:avLst/>
            </a:prstGeom>
            <a:blipFill>
              <a:blip xmlns:r="http://schemas.openxmlformats.org/officeDocument/2006/relationships" r:embed="rId12" cstate="print">
                <a:extLst>
                  <a:ext uri="{28A0092B-C50C-407E-A947-70E740481C1C}">
                    <a14:useLocalDpi xmlns:a14="http://schemas.microsoft.com/office/drawing/2010/main" val="0"/>
                  </a:ext>
                </a:extLst>
              </a:blip>
              <a:srcRect/>
              <a:stretch>
                <a:fillRect l="-14075" t="-94076" r="-15473" b="-133332"/>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17" name="Group 16">
            <a:hlinkClick xmlns:r="http://schemas.openxmlformats.org/officeDocument/2006/relationships" r:id="rId13"/>
            <a:extLst>
              <a:ext uri="{FF2B5EF4-FFF2-40B4-BE49-F238E27FC236}">
                <a16:creationId xmlns:a16="http://schemas.microsoft.com/office/drawing/2014/main" id="{E11140F5-0C93-4FB6-B122-FC5BC3307E6B}"/>
              </a:ext>
            </a:extLst>
          </xdr:cNvPr>
          <xdr:cNvGrpSpPr/>
        </xdr:nvGrpSpPr>
        <xdr:grpSpPr>
          <a:xfrm>
            <a:off x="14580314" y="128040"/>
            <a:ext cx="2766356" cy="623230"/>
            <a:chOff x="7597777" y="890587"/>
            <a:chExt cx="2770188" cy="619125"/>
          </a:xfrm>
        </xdr:grpSpPr>
        <xdr:sp macro="" textlink="">
          <xdr:nvSpPr>
            <xdr:cNvPr id="23" name="Rectangle: Rounded Corners 22">
              <a:extLst>
                <a:ext uri="{FF2B5EF4-FFF2-40B4-BE49-F238E27FC236}">
                  <a16:creationId xmlns:a16="http://schemas.microsoft.com/office/drawing/2014/main" id="{E023EFB2-A51B-4203-B0EA-DB997AA8FB20}"/>
                </a:ext>
              </a:extLst>
            </xdr:cNvPr>
            <xdr:cNvSpPr/>
          </xdr:nvSpPr>
          <xdr:spPr>
            <a:xfrm>
              <a:off x="7597777" y="890587"/>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Synthése</a:t>
              </a:r>
              <a:endParaRPr lang="fr-TN" sz="1200" b="1">
                <a:latin typeface="Arial" panose="020B0604020202020204" pitchFamily="34" charset="0"/>
                <a:cs typeface="Arial" panose="020B0604020202020204" pitchFamily="34" charset="0"/>
              </a:endParaRPr>
            </a:p>
          </xdr:txBody>
        </xdr:sp>
        <xdr:pic>
          <xdr:nvPicPr>
            <xdr:cNvPr id="7" name="Graphic 6" descr="Clipboard with solid fill">
              <a:extLst>
                <a:ext uri="{FF2B5EF4-FFF2-40B4-BE49-F238E27FC236}">
                  <a16:creationId xmlns:a16="http://schemas.microsoft.com/office/drawing/2014/main" id="{5342F083-D8DB-4A7A-9C67-7871B0D1062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7691438" y="920750"/>
              <a:ext cx="547688" cy="547688"/>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590367</xdr:colOff>
      <xdr:row>0</xdr:row>
      <xdr:rowOff>833438</xdr:rowOff>
    </xdr:to>
    <xdr:grpSp>
      <xdr:nvGrpSpPr>
        <xdr:cNvPr id="5" name="Group 4">
          <a:extLst>
            <a:ext uri="{FF2B5EF4-FFF2-40B4-BE49-F238E27FC236}">
              <a16:creationId xmlns:a16="http://schemas.microsoft.com/office/drawing/2014/main" id="{07C40037-6860-4825-9607-9AE8E0ED3590}"/>
            </a:ext>
          </a:extLst>
        </xdr:cNvPr>
        <xdr:cNvGrpSpPr/>
      </xdr:nvGrpSpPr>
      <xdr:grpSpPr>
        <a:xfrm>
          <a:off x="0" y="0"/>
          <a:ext cx="25336317" cy="833438"/>
          <a:chOff x="0" y="0"/>
          <a:chExt cx="17346670" cy="833438"/>
        </a:xfrm>
      </xdr:grpSpPr>
      <xdr:pic>
        <xdr:nvPicPr>
          <xdr:cNvPr id="6" name="Graphic 5" descr="Home with solid fill">
            <a:hlinkClick xmlns:r="http://schemas.openxmlformats.org/officeDocument/2006/relationships" r:id="rId1"/>
            <a:extLst>
              <a:ext uri="{FF2B5EF4-FFF2-40B4-BE49-F238E27FC236}">
                <a16:creationId xmlns:a16="http://schemas.microsoft.com/office/drawing/2014/main" id="{B58CDCB4-0BDC-4D22-A649-3F6246EEF4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826595" cy="833438"/>
          </a:xfrm>
          <a:prstGeom prst="rect">
            <a:avLst/>
          </a:prstGeom>
        </xdr:spPr>
      </xdr:pic>
      <xdr:grpSp>
        <xdr:nvGrpSpPr>
          <xdr:cNvPr id="7" name="Group 6">
            <a:hlinkClick xmlns:r="http://schemas.openxmlformats.org/officeDocument/2006/relationships" r:id="rId4"/>
            <a:extLst>
              <a:ext uri="{FF2B5EF4-FFF2-40B4-BE49-F238E27FC236}">
                <a16:creationId xmlns:a16="http://schemas.microsoft.com/office/drawing/2014/main" id="{798CCEBB-414E-434B-A1BD-491BA4D5BF84}"/>
              </a:ext>
            </a:extLst>
          </xdr:cNvPr>
          <xdr:cNvGrpSpPr/>
        </xdr:nvGrpSpPr>
        <xdr:grpSpPr>
          <a:xfrm>
            <a:off x="1645254" y="126998"/>
            <a:ext cx="2760060" cy="627064"/>
            <a:chOff x="2198689" y="952498"/>
            <a:chExt cx="2770188" cy="627064"/>
          </a:xfrm>
        </xdr:grpSpPr>
        <xdr:sp macro="" textlink="">
          <xdr:nvSpPr>
            <xdr:cNvPr id="17" name="Rectangle: Rounded Corners 16">
              <a:extLst>
                <a:ext uri="{FF2B5EF4-FFF2-40B4-BE49-F238E27FC236}">
                  <a16:creationId xmlns:a16="http://schemas.microsoft.com/office/drawing/2014/main" id="{6DD1AF66-8526-432D-93E2-778F845D7081}"/>
                </a:ext>
              </a:extLst>
            </xdr:cNvPr>
            <xdr:cNvSpPr/>
          </xdr:nvSpPr>
          <xdr:spPr>
            <a:xfrm>
              <a:off x="2198689" y="952500"/>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Commune</a:t>
              </a:r>
              <a:endParaRPr lang="fr-TN" sz="1200" b="1">
                <a:latin typeface="Arial" panose="020B0604020202020204" pitchFamily="34" charset="0"/>
                <a:cs typeface="Arial" panose="020B0604020202020204" pitchFamily="34" charset="0"/>
              </a:endParaRPr>
            </a:p>
          </xdr:txBody>
        </xdr:sp>
        <xdr:sp macro="" textlink="">
          <xdr:nvSpPr>
            <xdr:cNvPr id="18" name="Rectangle 17">
              <a:extLst>
                <a:ext uri="{FF2B5EF4-FFF2-40B4-BE49-F238E27FC236}">
                  <a16:creationId xmlns:a16="http://schemas.microsoft.com/office/drawing/2014/main" id="{67B365B5-7A85-49F6-A5A2-F89CD92C412C}"/>
                </a:ext>
              </a:extLst>
            </xdr:cNvPr>
            <xdr:cNvSpPr/>
          </xdr:nvSpPr>
          <xdr:spPr>
            <a:xfrm>
              <a:off x="2230435" y="952498"/>
              <a:ext cx="746127" cy="627064"/>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l="-54668" t="-81482" r="-60000" b="-118768"/>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8" name="Group 7">
            <a:hlinkClick xmlns:r="http://schemas.openxmlformats.org/officeDocument/2006/relationships" r:id="rId6"/>
            <a:extLst>
              <a:ext uri="{FF2B5EF4-FFF2-40B4-BE49-F238E27FC236}">
                <a16:creationId xmlns:a16="http://schemas.microsoft.com/office/drawing/2014/main" id="{668E10FD-A8C6-448A-84AC-9B2A7A855C99}"/>
              </a:ext>
            </a:extLst>
          </xdr:cNvPr>
          <xdr:cNvGrpSpPr/>
        </xdr:nvGrpSpPr>
        <xdr:grpSpPr>
          <a:xfrm>
            <a:off x="4623456" y="18886"/>
            <a:ext cx="4796387" cy="737312"/>
            <a:chOff x="2436813" y="912812"/>
            <a:chExt cx="4795839" cy="731838"/>
          </a:xfrm>
        </xdr:grpSpPr>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A2A13B72-04F9-483E-B52E-11B926D25885}"/>
                </a:ext>
              </a:extLst>
            </xdr:cNvPr>
            <xdr:cNvSpPr/>
          </xdr:nvSpPr>
          <xdr:spPr>
            <a:xfrm>
              <a:off x="2436813" y="1025525"/>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ISO-DIS 9001 vr 2025</a:t>
              </a:r>
              <a:endParaRPr lang="fr-TN" sz="1200" b="1">
                <a:latin typeface="Arial" panose="020B0604020202020204" pitchFamily="34" charset="0"/>
                <a:cs typeface="Arial" panose="020B0604020202020204" pitchFamily="34" charset="0"/>
              </a:endParaRPr>
            </a:p>
          </xdr:txBody>
        </xdr:sp>
        <xdr:sp macro="" textlink="">
          <xdr:nvSpPr>
            <xdr:cNvPr id="16" name="Rectangle 15">
              <a:extLst>
                <a:ext uri="{FF2B5EF4-FFF2-40B4-BE49-F238E27FC236}">
                  <a16:creationId xmlns:a16="http://schemas.microsoft.com/office/drawing/2014/main" id="{7105E9C9-4F73-4E0F-96F9-19A373397FEE}"/>
                </a:ext>
              </a:extLst>
            </xdr:cNvPr>
            <xdr:cNvSpPr/>
          </xdr:nvSpPr>
          <xdr:spPr>
            <a:xfrm>
              <a:off x="2524127" y="912812"/>
              <a:ext cx="1492250" cy="698500"/>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rcRect/>
              <a:stretch>
                <a:fillRect l="-8197" t="-95450" r="-9398" b="-11636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9" name="Group 8">
            <a:hlinkClick xmlns:r="http://schemas.openxmlformats.org/officeDocument/2006/relationships" r:id="rId9"/>
            <a:extLst>
              <a:ext uri="{FF2B5EF4-FFF2-40B4-BE49-F238E27FC236}">
                <a16:creationId xmlns:a16="http://schemas.microsoft.com/office/drawing/2014/main" id="{F9F0B349-7D95-407B-8DB0-DEF075269618}"/>
              </a:ext>
            </a:extLst>
          </xdr:cNvPr>
          <xdr:cNvGrpSpPr/>
        </xdr:nvGrpSpPr>
        <xdr:grpSpPr>
          <a:xfrm>
            <a:off x="9590907" y="106474"/>
            <a:ext cx="4796387" cy="643373"/>
            <a:chOff x="3089275" y="2730502"/>
            <a:chExt cx="4795839" cy="646110"/>
          </a:xfrm>
        </xdr:grpSpPr>
        <xdr:sp macro="" textlink="">
          <xdr:nvSpPr>
            <xdr:cNvPr id="13" name="Rectangle: Rounded Corners 12">
              <a:extLst>
                <a:ext uri="{FF2B5EF4-FFF2-40B4-BE49-F238E27FC236}">
                  <a16:creationId xmlns:a16="http://schemas.microsoft.com/office/drawing/2014/main" id="{7F56612C-7C8A-4744-83AE-92F094323DCB}"/>
                </a:ext>
              </a:extLst>
            </xdr:cNvPr>
            <xdr:cNvSpPr/>
          </xdr:nvSpPr>
          <xdr:spPr>
            <a:xfrm>
              <a:off x="3089275" y="2757487"/>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Spec ISO 27001</a:t>
              </a:r>
              <a:endParaRPr lang="fr-TN" sz="1200" b="1">
                <a:latin typeface="Arial" panose="020B0604020202020204" pitchFamily="34" charset="0"/>
                <a:cs typeface="Arial" panose="020B0604020202020204" pitchFamily="34" charset="0"/>
              </a:endParaRPr>
            </a:p>
          </xdr:txBody>
        </xdr:sp>
        <xdr:sp macro="" textlink="">
          <xdr:nvSpPr>
            <xdr:cNvPr id="14" name="Rectangle 13">
              <a:extLst>
                <a:ext uri="{FF2B5EF4-FFF2-40B4-BE49-F238E27FC236}">
                  <a16:creationId xmlns:a16="http://schemas.microsoft.com/office/drawing/2014/main" id="{C6C15A4B-85A3-4156-85F5-E23A4F751BFE}"/>
                </a:ext>
              </a:extLst>
            </xdr:cNvPr>
            <xdr:cNvSpPr/>
          </xdr:nvSpPr>
          <xdr:spPr>
            <a:xfrm>
              <a:off x="3167063" y="2730502"/>
              <a:ext cx="1333500" cy="603249"/>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14075" t="-94076" r="-15473" b="-133332"/>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10" name="Group 9">
            <a:hlinkClick xmlns:r="http://schemas.openxmlformats.org/officeDocument/2006/relationships" r:id="rId11"/>
            <a:extLst>
              <a:ext uri="{FF2B5EF4-FFF2-40B4-BE49-F238E27FC236}">
                <a16:creationId xmlns:a16="http://schemas.microsoft.com/office/drawing/2014/main" id="{97755B67-C5FD-4928-B542-D0B0E33AAAB7}"/>
              </a:ext>
            </a:extLst>
          </xdr:cNvPr>
          <xdr:cNvGrpSpPr/>
        </xdr:nvGrpSpPr>
        <xdr:grpSpPr>
          <a:xfrm>
            <a:off x="14580314" y="128040"/>
            <a:ext cx="2766356" cy="623230"/>
            <a:chOff x="7597777" y="890587"/>
            <a:chExt cx="2770188" cy="619125"/>
          </a:xfrm>
        </xdr:grpSpPr>
        <xdr:sp macro="" textlink="">
          <xdr:nvSpPr>
            <xdr:cNvPr id="11" name="Rectangle: Rounded Corners 10">
              <a:extLst>
                <a:ext uri="{FF2B5EF4-FFF2-40B4-BE49-F238E27FC236}">
                  <a16:creationId xmlns:a16="http://schemas.microsoft.com/office/drawing/2014/main" id="{84DE82D2-FB5C-4F69-AB5D-A2DAA1D9E065}"/>
                </a:ext>
              </a:extLst>
            </xdr:cNvPr>
            <xdr:cNvSpPr/>
          </xdr:nvSpPr>
          <xdr:spPr>
            <a:xfrm>
              <a:off x="7597777" y="890587"/>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Synthèse</a:t>
              </a:r>
              <a:endParaRPr lang="fr-TN" sz="1200" b="1">
                <a:latin typeface="Arial" panose="020B0604020202020204" pitchFamily="34" charset="0"/>
                <a:cs typeface="Arial" panose="020B0604020202020204" pitchFamily="34" charset="0"/>
              </a:endParaRPr>
            </a:p>
          </xdr:txBody>
        </xdr:sp>
        <xdr:pic>
          <xdr:nvPicPr>
            <xdr:cNvPr id="12" name="Graphic 11" descr="Clipboard with solid fill">
              <a:extLst>
                <a:ext uri="{FF2B5EF4-FFF2-40B4-BE49-F238E27FC236}">
                  <a16:creationId xmlns:a16="http://schemas.microsoft.com/office/drawing/2014/main" id="{94EEFB7F-2D63-44E6-B1D9-0870A78B4D0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691438" y="920750"/>
              <a:ext cx="547688" cy="547688"/>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568427</xdr:colOff>
      <xdr:row>0</xdr:row>
      <xdr:rowOff>833438</xdr:rowOff>
    </xdr:to>
    <xdr:grpSp>
      <xdr:nvGrpSpPr>
        <xdr:cNvPr id="4" name="Group 3">
          <a:extLst>
            <a:ext uri="{FF2B5EF4-FFF2-40B4-BE49-F238E27FC236}">
              <a16:creationId xmlns:a16="http://schemas.microsoft.com/office/drawing/2014/main" id="{60C1C630-F3D9-4C20-987D-4B925DF05DAD}"/>
            </a:ext>
          </a:extLst>
        </xdr:cNvPr>
        <xdr:cNvGrpSpPr/>
      </xdr:nvGrpSpPr>
      <xdr:grpSpPr>
        <a:xfrm>
          <a:off x="0" y="0"/>
          <a:ext cx="21830944" cy="841058"/>
          <a:chOff x="0" y="0"/>
          <a:chExt cx="17346670" cy="833438"/>
        </a:xfrm>
      </xdr:grpSpPr>
      <xdr:pic>
        <xdr:nvPicPr>
          <xdr:cNvPr id="5" name="Graphic 4" descr="Home with solid fill">
            <a:hlinkClick xmlns:r="http://schemas.openxmlformats.org/officeDocument/2006/relationships" r:id="rId1"/>
            <a:extLst>
              <a:ext uri="{FF2B5EF4-FFF2-40B4-BE49-F238E27FC236}">
                <a16:creationId xmlns:a16="http://schemas.microsoft.com/office/drawing/2014/main" id="{2D8A2C70-4B76-4DF5-816A-5DE1EEDA81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826595" cy="833438"/>
          </a:xfrm>
          <a:prstGeom prst="rect">
            <a:avLst/>
          </a:prstGeom>
        </xdr:spPr>
      </xdr:pic>
      <xdr:grpSp>
        <xdr:nvGrpSpPr>
          <xdr:cNvPr id="6" name="Group 5">
            <a:hlinkClick xmlns:r="http://schemas.openxmlformats.org/officeDocument/2006/relationships" r:id="rId4"/>
            <a:extLst>
              <a:ext uri="{FF2B5EF4-FFF2-40B4-BE49-F238E27FC236}">
                <a16:creationId xmlns:a16="http://schemas.microsoft.com/office/drawing/2014/main" id="{E0BE4386-1C4F-475C-B70A-9E0A9C6B2ECD}"/>
              </a:ext>
            </a:extLst>
          </xdr:cNvPr>
          <xdr:cNvGrpSpPr/>
        </xdr:nvGrpSpPr>
        <xdr:grpSpPr>
          <a:xfrm>
            <a:off x="1645254" y="126998"/>
            <a:ext cx="2760060" cy="627064"/>
            <a:chOff x="2198689" y="952498"/>
            <a:chExt cx="2770188" cy="627064"/>
          </a:xfrm>
        </xdr:grpSpPr>
        <xdr:sp macro="" textlink="">
          <xdr:nvSpPr>
            <xdr:cNvPr id="16" name="Rectangle: Rounded Corners 15">
              <a:extLst>
                <a:ext uri="{FF2B5EF4-FFF2-40B4-BE49-F238E27FC236}">
                  <a16:creationId xmlns:a16="http://schemas.microsoft.com/office/drawing/2014/main" id="{C2A50C89-E858-49EF-AA66-4DAC34C2A0D4}"/>
                </a:ext>
              </a:extLst>
            </xdr:cNvPr>
            <xdr:cNvSpPr/>
          </xdr:nvSpPr>
          <xdr:spPr>
            <a:xfrm>
              <a:off x="2198689" y="952500"/>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Commune</a:t>
              </a:r>
              <a:endParaRPr lang="fr-TN" sz="1200" b="1">
                <a:latin typeface="Arial" panose="020B0604020202020204" pitchFamily="34" charset="0"/>
                <a:cs typeface="Arial" panose="020B0604020202020204" pitchFamily="34" charset="0"/>
              </a:endParaRPr>
            </a:p>
          </xdr:txBody>
        </xdr:sp>
        <xdr:sp macro="" textlink="">
          <xdr:nvSpPr>
            <xdr:cNvPr id="17" name="Rectangle 16">
              <a:extLst>
                <a:ext uri="{FF2B5EF4-FFF2-40B4-BE49-F238E27FC236}">
                  <a16:creationId xmlns:a16="http://schemas.microsoft.com/office/drawing/2014/main" id="{15D8CDA3-2900-42C0-95ED-E78041F1180A}"/>
                </a:ext>
              </a:extLst>
            </xdr:cNvPr>
            <xdr:cNvSpPr/>
          </xdr:nvSpPr>
          <xdr:spPr>
            <a:xfrm>
              <a:off x="2230435" y="952498"/>
              <a:ext cx="746127" cy="627064"/>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l="-54668" t="-81482" r="-60000" b="-118768"/>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7" name="Group 6">
            <a:hlinkClick xmlns:r="http://schemas.openxmlformats.org/officeDocument/2006/relationships" r:id="rId6"/>
            <a:extLst>
              <a:ext uri="{FF2B5EF4-FFF2-40B4-BE49-F238E27FC236}">
                <a16:creationId xmlns:a16="http://schemas.microsoft.com/office/drawing/2014/main" id="{4EEAED5B-76E5-416A-AB3B-34CDA01386B3}"/>
              </a:ext>
            </a:extLst>
          </xdr:cNvPr>
          <xdr:cNvGrpSpPr/>
        </xdr:nvGrpSpPr>
        <xdr:grpSpPr>
          <a:xfrm>
            <a:off x="4623456" y="18886"/>
            <a:ext cx="4796387" cy="737312"/>
            <a:chOff x="2436813" y="912812"/>
            <a:chExt cx="4795839" cy="731838"/>
          </a:xfrm>
        </xdr:grpSpPr>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686178F3-52FF-4D07-B8DC-536FD15A0825}"/>
                </a:ext>
              </a:extLst>
            </xdr:cNvPr>
            <xdr:cNvSpPr/>
          </xdr:nvSpPr>
          <xdr:spPr>
            <a:xfrm>
              <a:off x="2436813" y="1025525"/>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ISO-DIS 9001 vr 2025</a:t>
              </a:r>
              <a:endParaRPr lang="fr-TN" sz="1200" b="1">
                <a:latin typeface="Arial" panose="020B0604020202020204" pitchFamily="34" charset="0"/>
                <a:cs typeface="Arial" panose="020B0604020202020204" pitchFamily="34" charset="0"/>
              </a:endParaRPr>
            </a:p>
          </xdr:txBody>
        </xdr:sp>
        <xdr:sp macro="" textlink="">
          <xdr:nvSpPr>
            <xdr:cNvPr id="15" name="Rectangle 14">
              <a:extLst>
                <a:ext uri="{FF2B5EF4-FFF2-40B4-BE49-F238E27FC236}">
                  <a16:creationId xmlns:a16="http://schemas.microsoft.com/office/drawing/2014/main" id="{F2C003B4-4E8D-4B26-B27A-2EC9A4508773}"/>
                </a:ext>
              </a:extLst>
            </xdr:cNvPr>
            <xdr:cNvSpPr/>
          </xdr:nvSpPr>
          <xdr:spPr>
            <a:xfrm>
              <a:off x="2524127" y="912812"/>
              <a:ext cx="1492250" cy="698500"/>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rcRect/>
              <a:stretch>
                <a:fillRect l="-8197" t="-95450" r="-9398" b="-11636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8" name="Group 7">
            <a:hlinkClick xmlns:r="http://schemas.openxmlformats.org/officeDocument/2006/relationships" r:id="rId9"/>
            <a:extLst>
              <a:ext uri="{FF2B5EF4-FFF2-40B4-BE49-F238E27FC236}">
                <a16:creationId xmlns:a16="http://schemas.microsoft.com/office/drawing/2014/main" id="{14C26F5A-06AE-45C3-BD4C-AC211BCFE79E}"/>
              </a:ext>
            </a:extLst>
          </xdr:cNvPr>
          <xdr:cNvGrpSpPr/>
        </xdr:nvGrpSpPr>
        <xdr:grpSpPr>
          <a:xfrm>
            <a:off x="9590907" y="106474"/>
            <a:ext cx="4796387" cy="643373"/>
            <a:chOff x="3089275" y="2730502"/>
            <a:chExt cx="4795839" cy="646110"/>
          </a:xfrm>
        </xdr:grpSpPr>
        <xdr:sp macro="" textlink="">
          <xdr:nvSpPr>
            <xdr:cNvPr id="12" name="Rectangle: Rounded Corners 11">
              <a:extLst>
                <a:ext uri="{FF2B5EF4-FFF2-40B4-BE49-F238E27FC236}">
                  <a16:creationId xmlns:a16="http://schemas.microsoft.com/office/drawing/2014/main" id="{391694FD-2284-4F62-A838-4F82EAF91665}"/>
                </a:ext>
              </a:extLst>
            </xdr:cNvPr>
            <xdr:cNvSpPr/>
          </xdr:nvSpPr>
          <xdr:spPr>
            <a:xfrm>
              <a:off x="3089275" y="2757487"/>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Spec ISO 27001</a:t>
              </a:r>
              <a:endParaRPr lang="fr-TN" sz="1200" b="1">
                <a:latin typeface="Arial" panose="020B0604020202020204" pitchFamily="34" charset="0"/>
                <a:cs typeface="Arial" panose="020B0604020202020204" pitchFamily="34" charset="0"/>
              </a:endParaRPr>
            </a:p>
          </xdr:txBody>
        </xdr:sp>
        <xdr:sp macro="" textlink="">
          <xdr:nvSpPr>
            <xdr:cNvPr id="13" name="Rectangle 12">
              <a:extLst>
                <a:ext uri="{FF2B5EF4-FFF2-40B4-BE49-F238E27FC236}">
                  <a16:creationId xmlns:a16="http://schemas.microsoft.com/office/drawing/2014/main" id="{E9DAC6B4-6FF0-495F-B91B-353FA7CBB3C8}"/>
                </a:ext>
              </a:extLst>
            </xdr:cNvPr>
            <xdr:cNvSpPr/>
          </xdr:nvSpPr>
          <xdr:spPr>
            <a:xfrm>
              <a:off x="3167063" y="2730502"/>
              <a:ext cx="1333500" cy="603249"/>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14075" t="-94076" r="-15473" b="-133332"/>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9" name="Group 8">
            <a:hlinkClick xmlns:r="http://schemas.openxmlformats.org/officeDocument/2006/relationships" r:id="rId11"/>
            <a:extLst>
              <a:ext uri="{FF2B5EF4-FFF2-40B4-BE49-F238E27FC236}">
                <a16:creationId xmlns:a16="http://schemas.microsoft.com/office/drawing/2014/main" id="{C61EAEBC-16CE-48C8-B3BA-005FB4A2ACB5}"/>
              </a:ext>
            </a:extLst>
          </xdr:cNvPr>
          <xdr:cNvGrpSpPr/>
        </xdr:nvGrpSpPr>
        <xdr:grpSpPr>
          <a:xfrm>
            <a:off x="14580314" y="128040"/>
            <a:ext cx="2766356" cy="623230"/>
            <a:chOff x="7597777" y="890587"/>
            <a:chExt cx="2770188" cy="619125"/>
          </a:xfrm>
        </xdr:grpSpPr>
        <xdr:sp macro="" textlink="">
          <xdr:nvSpPr>
            <xdr:cNvPr id="10" name="Rectangle: Rounded Corners 9">
              <a:extLst>
                <a:ext uri="{FF2B5EF4-FFF2-40B4-BE49-F238E27FC236}">
                  <a16:creationId xmlns:a16="http://schemas.microsoft.com/office/drawing/2014/main" id="{73962425-C141-4C7B-A1A0-092F82E7CD7F}"/>
                </a:ext>
              </a:extLst>
            </xdr:cNvPr>
            <xdr:cNvSpPr/>
          </xdr:nvSpPr>
          <xdr:spPr>
            <a:xfrm>
              <a:off x="7597777" y="890587"/>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Synthèse</a:t>
              </a:r>
              <a:endParaRPr lang="fr-TN" sz="1200" b="1">
                <a:latin typeface="Arial" panose="020B0604020202020204" pitchFamily="34" charset="0"/>
                <a:cs typeface="Arial" panose="020B0604020202020204" pitchFamily="34" charset="0"/>
              </a:endParaRPr>
            </a:p>
          </xdr:txBody>
        </xdr:sp>
        <xdr:pic>
          <xdr:nvPicPr>
            <xdr:cNvPr id="11" name="Graphic 10" descr="Clipboard with solid fill">
              <a:extLst>
                <a:ext uri="{FF2B5EF4-FFF2-40B4-BE49-F238E27FC236}">
                  <a16:creationId xmlns:a16="http://schemas.microsoft.com/office/drawing/2014/main" id="{DFDFB13F-AA17-46F2-9B30-E3A111E4A4D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691438" y="920750"/>
              <a:ext cx="547688" cy="547688"/>
            </a:xfrm>
            <a:prstGeom prst="rect">
              <a:avLst/>
            </a:prstGeom>
          </xdr:spPr>
        </xdr:pic>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590367</xdr:colOff>
      <xdr:row>0</xdr:row>
      <xdr:rowOff>833438</xdr:rowOff>
    </xdr:to>
    <xdr:grpSp>
      <xdr:nvGrpSpPr>
        <xdr:cNvPr id="2" name="Group 1">
          <a:extLst>
            <a:ext uri="{FF2B5EF4-FFF2-40B4-BE49-F238E27FC236}">
              <a16:creationId xmlns:a16="http://schemas.microsoft.com/office/drawing/2014/main" id="{BFCC210B-F86B-4070-BF25-B620058CE188}"/>
            </a:ext>
          </a:extLst>
        </xdr:cNvPr>
        <xdr:cNvGrpSpPr/>
      </xdr:nvGrpSpPr>
      <xdr:grpSpPr>
        <a:xfrm>
          <a:off x="0" y="0"/>
          <a:ext cx="25616501" cy="841058"/>
          <a:chOff x="0" y="0"/>
          <a:chExt cx="17346670" cy="833438"/>
        </a:xfrm>
      </xdr:grpSpPr>
      <xdr:pic>
        <xdr:nvPicPr>
          <xdr:cNvPr id="3" name="Graphic 2" descr="Home with solid fill">
            <a:hlinkClick xmlns:r="http://schemas.openxmlformats.org/officeDocument/2006/relationships" r:id="rId1"/>
            <a:extLst>
              <a:ext uri="{FF2B5EF4-FFF2-40B4-BE49-F238E27FC236}">
                <a16:creationId xmlns:a16="http://schemas.microsoft.com/office/drawing/2014/main" id="{E69D7B64-8FD7-4571-90DA-55FBD3821B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826595" cy="833438"/>
          </a:xfrm>
          <a:prstGeom prst="rect">
            <a:avLst/>
          </a:prstGeom>
        </xdr:spPr>
      </xdr:pic>
      <xdr:grpSp>
        <xdr:nvGrpSpPr>
          <xdr:cNvPr id="4" name="Group 3">
            <a:hlinkClick xmlns:r="http://schemas.openxmlformats.org/officeDocument/2006/relationships" r:id="rId4"/>
            <a:extLst>
              <a:ext uri="{FF2B5EF4-FFF2-40B4-BE49-F238E27FC236}">
                <a16:creationId xmlns:a16="http://schemas.microsoft.com/office/drawing/2014/main" id="{0FDD9064-2BD3-44CB-BFAB-A8718E77379D}"/>
              </a:ext>
            </a:extLst>
          </xdr:cNvPr>
          <xdr:cNvGrpSpPr/>
        </xdr:nvGrpSpPr>
        <xdr:grpSpPr>
          <a:xfrm>
            <a:off x="1645254" y="126998"/>
            <a:ext cx="2760060" cy="627064"/>
            <a:chOff x="2198689" y="952498"/>
            <a:chExt cx="2770188" cy="627064"/>
          </a:xfrm>
        </xdr:grpSpPr>
        <xdr:sp macro="" textlink="">
          <xdr:nvSpPr>
            <xdr:cNvPr id="14" name="Rectangle: Rounded Corners 13">
              <a:extLst>
                <a:ext uri="{FF2B5EF4-FFF2-40B4-BE49-F238E27FC236}">
                  <a16:creationId xmlns:a16="http://schemas.microsoft.com/office/drawing/2014/main" id="{04080670-4741-4B80-B888-4604BE118EB1}"/>
                </a:ext>
              </a:extLst>
            </xdr:cNvPr>
            <xdr:cNvSpPr/>
          </xdr:nvSpPr>
          <xdr:spPr>
            <a:xfrm>
              <a:off x="2198689" y="952500"/>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Commune</a:t>
              </a:r>
              <a:endParaRPr lang="fr-TN" sz="1200" b="1">
                <a:latin typeface="Arial" panose="020B0604020202020204" pitchFamily="34" charset="0"/>
                <a:cs typeface="Arial" panose="020B0604020202020204" pitchFamily="34" charset="0"/>
              </a:endParaRPr>
            </a:p>
          </xdr:txBody>
        </xdr:sp>
        <xdr:sp macro="" textlink="">
          <xdr:nvSpPr>
            <xdr:cNvPr id="15" name="Rectangle 14">
              <a:extLst>
                <a:ext uri="{FF2B5EF4-FFF2-40B4-BE49-F238E27FC236}">
                  <a16:creationId xmlns:a16="http://schemas.microsoft.com/office/drawing/2014/main" id="{57FB475D-B637-468E-B740-15C4490B1812}"/>
                </a:ext>
              </a:extLst>
            </xdr:cNvPr>
            <xdr:cNvSpPr/>
          </xdr:nvSpPr>
          <xdr:spPr>
            <a:xfrm>
              <a:off x="2230435" y="952498"/>
              <a:ext cx="746127" cy="627064"/>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l="-54668" t="-81482" r="-60000" b="-118768"/>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5" name="Group 4">
            <a:hlinkClick xmlns:r="http://schemas.openxmlformats.org/officeDocument/2006/relationships" r:id="rId6"/>
            <a:extLst>
              <a:ext uri="{FF2B5EF4-FFF2-40B4-BE49-F238E27FC236}">
                <a16:creationId xmlns:a16="http://schemas.microsoft.com/office/drawing/2014/main" id="{C4F35985-13D6-4262-97EA-B3ABE115AC0C}"/>
              </a:ext>
            </a:extLst>
          </xdr:cNvPr>
          <xdr:cNvGrpSpPr/>
        </xdr:nvGrpSpPr>
        <xdr:grpSpPr>
          <a:xfrm>
            <a:off x="4623456" y="18886"/>
            <a:ext cx="4796387" cy="737312"/>
            <a:chOff x="2436813" y="912812"/>
            <a:chExt cx="4795839" cy="731838"/>
          </a:xfrm>
        </xdr:grpSpPr>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0EF20F80-80AF-45DB-9EA0-9B48472A41A5}"/>
                </a:ext>
              </a:extLst>
            </xdr:cNvPr>
            <xdr:cNvSpPr/>
          </xdr:nvSpPr>
          <xdr:spPr>
            <a:xfrm>
              <a:off x="2436813" y="1025525"/>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ISO-DIS 9001 vr 2025</a:t>
              </a:r>
              <a:endParaRPr lang="fr-TN" sz="1200" b="1">
                <a:latin typeface="Arial" panose="020B0604020202020204" pitchFamily="34" charset="0"/>
                <a:cs typeface="Arial" panose="020B0604020202020204" pitchFamily="34" charset="0"/>
              </a:endParaRPr>
            </a:p>
          </xdr:txBody>
        </xdr:sp>
        <xdr:sp macro="" textlink="">
          <xdr:nvSpPr>
            <xdr:cNvPr id="13" name="Rectangle 12">
              <a:extLst>
                <a:ext uri="{FF2B5EF4-FFF2-40B4-BE49-F238E27FC236}">
                  <a16:creationId xmlns:a16="http://schemas.microsoft.com/office/drawing/2014/main" id="{E60373AD-C395-465C-A6FB-5CF98E4EC38A}"/>
                </a:ext>
              </a:extLst>
            </xdr:cNvPr>
            <xdr:cNvSpPr/>
          </xdr:nvSpPr>
          <xdr:spPr>
            <a:xfrm>
              <a:off x="2524127" y="912812"/>
              <a:ext cx="1492250" cy="698500"/>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rcRect/>
              <a:stretch>
                <a:fillRect l="-8197" t="-95450" r="-9398" b="-11636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6" name="Group 5">
            <a:hlinkClick xmlns:r="http://schemas.openxmlformats.org/officeDocument/2006/relationships" r:id="rId9"/>
            <a:extLst>
              <a:ext uri="{FF2B5EF4-FFF2-40B4-BE49-F238E27FC236}">
                <a16:creationId xmlns:a16="http://schemas.microsoft.com/office/drawing/2014/main" id="{46125740-7B4B-47C1-988A-3E5B26145DDB}"/>
              </a:ext>
            </a:extLst>
          </xdr:cNvPr>
          <xdr:cNvGrpSpPr/>
        </xdr:nvGrpSpPr>
        <xdr:grpSpPr>
          <a:xfrm>
            <a:off x="9590907" y="106474"/>
            <a:ext cx="4796387" cy="643373"/>
            <a:chOff x="3089275" y="2730502"/>
            <a:chExt cx="4795839" cy="646110"/>
          </a:xfrm>
        </xdr:grpSpPr>
        <xdr:sp macro="" textlink="">
          <xdr:nvSpPr>
            <xdr:cNvPr id="10" name="Rectangle: Rounded Corners 9">
              <a:extLst>
                <a:ext uri="{FF2B5EF4-FFF2-40B4-BE49-F238E27FC236}">
                  <a16:creationId xmlns:a16="http://schemas.microsoft.com/office/drawing/2014/main" id="{02275464-8FAF-4E4F-9B44-0EE646C8E129}"/>
                </a:ext>
              </a:extLst>
            </xdr:cNvPr>
            <xdr:cNvSpPr/>
          </xdr:nvSpPr>
          <xdr:spPr>
            <a:xfrm>
              <a:off x="3089275" y="2757487"/>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Spec ISO 27001</a:t>
              </a:r>
              <a:endParaRPr lang="fr-TN" sz="1200" b="1">
                <a:latin typeface="Arial" panose="020B0604020202020204" pitchFamily="34" charset="0"/>
                <a:cs typeface="Arial" panose="020B0604020202020204" pitchFamily="34" charset="0"/>
              </a:endParaRPr>
            </a:p>
          </xdr:txBody>
        </xdr:sp>
        <xdr:sp macro="" textlink="">
          <xdr:nvSpPr>
            <xdr:cNvPr id="11" name="Rectangle 10">
              <a:extLst>
                <a:ext uri="{FF2B5EF4-FFF2-40B4-BE49-F238E27FC236}">
                  <a16:creationId xmlns:a16="http://schemas.microsoft.com/office/drawing/2014/main" id="{C2D7DD5E-5D9A-4D15-AD56-30E14CC60A07}"/>
                </a:ext>
              </a:extLst>
            </xdr:cNvPr>
            <xdr:cNvSpPr/>
          </xdr:nvSpPr>
          <xdr:spPr>
            <a:xfrm>
              <a:off x="3167063" y="2730502"/>
              <a:ext cx="1333500" cy="603249"/>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14075" t="-94076" r="-15473" b="-133332"/>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7" name="Group 6">
            <a:hlinkClick xmlns:r="http://schemas.openxmlformats.org/officeDocument/2006/relationships" r:id="rId11"/>
            <a:extLst>
              <a:ext uri="{FF2B5EF4-FFF2-40B4-BE49-F238E27FC236}">
                <a16:creationId xmlns:a16="http://schemas.microsoft.com/office/drawing/2014/main" id="{8EC33A93-93B8-45C3-9314-B0F52E82F41F}"/>
              </a:ext>
            </a:extLst>
          </xdr:cNvPr>
          <xdr:cNvGrpSpPr/>
        </xdr:nvGrpSpPr>
        <xdr:grpSpPr>
          <a:xfrm>
            <a:off x="14580314" y="128040"/>
            <a:ext cx="2766356" cy="623230"/>
            <a:chOff x="7597777" y="890587"/>
            <a:chExt cx="2770188" cy="619125"/>
          </a:xfrm>
        </xdr:grpSpPr>
        <xdr:sp macro="" textlink="">
          <xdr:nvSpPr>
            <xdr:cNvPr id="8" name="Rectangle: Rounded Corners 7">
              <a:extLst>
                <a:ext uri="{FF2B5EF4-FFF2-40B4-BE49-F238E27FC236}">
                  <a16:creationId xmlns:a16="http://schemas.microsoft.com/office/drawing/2014/main" id="{51A6AE95-F60A-4FB2-98E8-A9F7FD56969A}"/>
                </a:ext>
              </a:extLst>
            </xdr:cNvPr>
            <xdr:cNvSpPr/>
          </xdr:nvSpPr>
          <xdr:spPr>
            <a:xfrm>
              <a:off x="7597777" y="890587"/>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Synthèse</a:t>
              </a:r>
              <a:endParaRPr lang="fr-TN" sz="1200" b="1">
                <a:latin typeface="Arial" panose="020B0604020202020204" pitchFamily="34" charset="0"/>
                <a:cs typeface="Arial" panose="020B0604020202020204" pitchFamily="34" charset="0"/>
              </a:endParaRPr>
            </a:p>
          </xdr:txBody>
        </xdr:sp>
        <xdr:pic>
          <xdr:nvPicPr>
            <xdr:cNvPr id="9" name="Graphic 8" descr="Clipboard with solid fill">
              <a:extLst>
                <a:ext uri="{FF2B5EF4-FFF2-40B4-BE49-F238E27FC236}">
                  <a16:creationId xmlns:a16="http://schemas.microsoft.com/office/drawing/2014/main" id="{273CF4C4-9DA3-480B-9FAB-82ADEDDA0EC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691438" y="920750"/>
              <a:ext cx="547688" cy="547688"/>
            </a:xfrm>
            <a:prstGeom prst="rect">
              <a:avLst/>
            </a:prstGeom>
          </xdr:spPr>
        </xdr:pic>
      </xdr:grp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354070</xdr:colOff>
      <xdr:row>0</xdr:row>
      <xdr:rowOff>833438</xdr:rowOff>
    </xdr:to>
    <xdr:grpSp>
      <xdr:nvGrpSpPr>
        <xdr:cNvPr id="2" name="Group 1">
          <a:extLst>
            <a:ext uri="{FF2B5EF4-FFF2-40B4-BE49-F238E27FC236}">
              <a16:creationId xmlns:a16="http://schemas.microsoft.com/office/drawing/2014/main" id="{6D88CDB6-247E-4838-810E-583DCD26EEF5}"/>
            </a:ext>
          </a:extLst>
        </xdr:cNvPr>
        <xdr:cNvGrpSpPr/>
      </xdr:nvGrpSpPr>
      <xdr:grpSpPr>
        <a:xfrm>
          <a:off x="0" y="0"/>
          <a:ext cx="24472894" cy="841058"/>
          <a:chOff x="0" y="0"/>
          <a:chExt cx="17346670" cy="833438"/>
        </a:xfrm>
      </xdr:grpSpPr>
      <xdr:pic>
        <xdr:nvPicPr>
          <xdr:cNvPr id="3" name="Graphic 2" descr="Home with solid fill">
            <a:hlinkClick xmlns:r="http://schemas.openxmlformats.org/officeDocument/2006/relationships" r:id="rId1"/>
            <a:extLst>
              <a:ext uri="{FF2B5EF4-FFF2-40B4-BE49-F238E27FC236}">
                <a16:creationId xmlns:a16="http://schemas.microsoft.com/office/drawing/2014/main" id="{05578C41-C80B-4E7F-B1AF-D744E6F05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826595" cy="833438"/>
          </a:xfrm>
          <a:prstGeom prst="rect">
            <a:avLst/>
          </a:prstGeom>
        </xdr:spPr>
      </xdr:pic>
      <xdr:grpSp>
        <xdr:nvGrpSpPr>
          <xdr:cNvPr id="4" name="Group 3">
            <a:hlinkClick xmlns:r="http://schemas.openxmlformats.org/officeDocument/2006/relationships" r:id="rId4"/>
            <a:extLst>
              <a:ext uri="{FF2B5EF4-FFF2-40B4-BE49-F238E27FC236}">
                <a16:creationId xmlns:a16="http://schemas.microsoft.com/office/drawing/2014/main" id="{DD5714FA-28D1-4856-B7D5-CF20F915631D}"/>
              </a:ext>
            </a:extLst>
          </xdr:cNvPr>
          <xdr:cNvGrpSpPr/>
        </xdr:nvGrpSpPr>
        <xdr:grpSpPr>
          <a:xfrm>
            <a:off x="1645254" y="126998"/>
            <a:ext cx="2760060" cy="627064"/>
            <a:chOff x="2198689" y="952498"/>
            <a:chExt cx="2770188" cy="627064"/>
          </a:xfrm>
        </xdr:grpSpPr>
        <xdr:sp macro="" textlink="">
          <xdr:nvSpPr>
            <xdr:cNvPr id="14" name="Rectangle: Rounded Corners 13">
              <a:extLst>
                <a:ext uri="{FF2B5EF4-FFF2-40B4-BE49-F238E27FC236}">
                  <a16:creationId xmlns:a16="http://schemas.microsoft.com/office/drawing/2014/main" id="{385B69E4-CC17-4463-BA0C-9719E1CE145C}"/>
                </a:ext>
              </a:extLst>
            </xdr:cNvPr>
            <xdr:cNvSpPr/>
          </xdr:nvSpPr>
          <xdr:spPr>
            <a:xfrm>
              <a:off x="2198689" y="952500"/>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Commune</a:t>
              </a:r>
              <a:endParaRPr lang="fr-TN" sz="1200" b="1">
                <a:latin typeface="Arial" panose="020B0604020202020204" pitchFamily="34" charset="0"/>
                <a:cs typeface="Arial" panose="020B0604020202020204" pitchFamily="34" charset="0"/>
              </a:endParaRPr>
            </a:p>
          </xdr:txBody>
        </xdr:sp>
        <xdr:sp macro="" textlink="">
          <xdr:nvSpPr>
            <xdr:cNvPr id="15" name="Rectangle 14">
              <a:extLst>
                <a:ext uri="{FF2B5EF4-FFF2-40B4-BE49-F238E27FC236}">
                  <a16:creationId xmlns:a16="http://schemas.microsoft.com/office/drawing/2014/main" id="{6F24F42C-AE25-469F-9B76-7B9F0AFC10BC}"/>
                </a:ext>
              </a:extLst>
            </xdr:cNvPr>
            <xdr:cNvSpPr/>
          </xdr:nvSpPr>
          <xdr:spPr>
            <a:xfrm>
              <a:off x="2230435" y="952498"/>
              <a:ext cx="746127" cy="627064"/>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l="-54668" t="-81482" r="-60000" b="-118768"/>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5" name="Group 4">
            <a:hlinkClick xmlns:r="http://schemas.openxmlformats.org/officeDocument/2006/relationships" r:id="rId6"/>
            <a:extLst>
              <a:ext uri="{FF2B5EF4-FFF2-40B4-BE49-F238E27FC236}">
                <a16:creationId xmlns:a16="http://schemas.microsoft.com/office/drawing/2014/main" id="{EBC77E7B-2C45-4FD9-972B-5CFBA945B4B9}"/>
              </a:ext>
            </a:extLst>
          </xdr:cNvPr>
          <xdr:cNvGrpSpPr/>
        </xdr:nvGrpSpPr>
        <xdr:grpSpPr>
          <a:xfrm>
            <a:off x="4623456" y="18886"/>
            <a:ext cx="4796387" cy="737312"/>
            <a:chOff x="2436813" y="912812"/>
            <a:chExt cx="4795839" cy="731838"/>
          </a:xfrm>
        </xdr:grpSpPr>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7DEDF3E3-4AB6-4C91-AE55-334B52550A2B}"/>
                </a:ext>
              </a:extLst>
            </xdr:cNvPr>
            <xdr:cNvSpPr/>
          </xdr:nvSpPr>
          <xdr:spPr>
            <a:xfrm>
              <a:off x="2436813" y="1025525"/>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ISO-DIS 9001 vr 2025</a:t>
              </a:r>
              <a:endParaRPr lang="fr-TN" sz="1200" b="1">
                <a:latin typeface="Arial" panose="020B0604020202020204" pitchFamily="34" charset="0"/>
                <a:cs typeface="Arial" panose="020B0604020202020204" pitchFamily="34" charset="0"/>
              </a:endParaRPr>
            </a:p>
          </xdr:txBody>
        </xdr:sp>
        <xdr:sp macro="" textlink="">
          <xdr:nvSpPr>
            <xdr:cNvPr id="13" name="Rectangle 12">
              <a:extLst>
                <a:ext uri="{FF2B5EF4-FFF2-40B4-BE49-F238E27FC236}">
                  <a16:creationId xmlns:a16="http://schemas.microsoft.com/office/drawing/2014/main" id="{F0434440-5BD9-4F45-93C6-C388C21476BB}"/>
                </a:ext>
              </a:extLst>
            </xdr:cNvPr>
            <xdr:cNvSpPr/>
          </xdr:nvSpPr>
          <xdr:spPr>
            <a:xfrm>
              <a:off x="2524127" y="912812"/>
              <a:ext cx="1492250" cy="698500"/>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rcRect/>
              <a:stretch>
                <a:fillRect l="-8197" t="-95450" r="-9398" b="-11636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6" name="Group 5">
            <a:hlinkClick xmlns:r="http://schemas.openxmlformats.org/officeDocument/2006/relationships" r:id="rId9"/>
            <a:extLst>
              <a:ext uri="{FF2B5EF4-FFF2-40B4-BE49-F238E27FC236}">
                <a16:creationId xmlns:a16="http://schemas.microsoft.com/office/drawing/2014/main" id="{FEF92ED5-ADE9-4D7C-8F7E-440256DD31C6}"/>
              </a:ext>
            </a:extLst>
          </xdr:cNvPr>
          <xdr:cNvGrpSpPr/>
        </xdr:nvGrpSpPr>
        <xdr:grpSpPr>
          <a:xfrm>
            <a:off x="9590907" y="106474"/>
            <a:ext cx="4796387" cy="643373"/>
            <a:chOff x="3089275" y="2730502"/>
            <a:chExt cx="4795839" cy="646110"/>
          </a:xfrm>
        </xdr:grpSpPr>
        <xdr:sp macro="" textlink="">
          <xdr:nvSpPr>
            <xdr:cNvPr id="10" name="Rectangle: Rounded Corners 9">
              <a:extLst>
                <a:ext uri="{FF2B5EF4-FFF2-40B4-BE49-F238E27FC236}">
                  <a16:creationId xmlns:a16="http://schemas.microsoft.com/office/drawing/2014/main" id="{755C7B20-1E4E-4A4D-BD00-A073FED8F300}"/>
                </a:ext>
              </a:extLst>
            </xdr:cNvPr>
            <xdr:cNvSpPr/>
          </xdr:nvSpPr>
          <xdr:spPr>
            <a:xfrm>
              <a:off x="3089275" y="2757487"/>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Spec ISO 27001</a:t>
              </a:r>
              <a:endParaRPr lang="fr-TN" sz="1200" b="1">
                <a:latin typeface="Arial" panose="020B0604020202020204" pitchFamily="34" charset="0"/>
                <a:cs typeface="Arial" panose="020B0604020202020204" pitchFamily="34" charset="0"/>
              </a:endParaRPr>
            </a:p>
          </xdr:txBody>
        </xdr:sp>
        <xdr:sp macro="" textlink="">
          <xdr:nvSpPr>
            <xdr:cNvPr id="11" name="Rectangle 10">
              <a:extLst>
                <a:ext uri="{FF2B5EF4-FFF2-40B4-BE49-F238E27FC236}">
                  <a16:creationId xmlns:a16="http://schemas.microsoft.com/office/drawing/2014/main" id="{5A083CA9-ADC4-4B4D-BD6B-09B44540654B}"/>
                </a:ext>
              </a:extLst>
            </xdr:cNvPr>
            <xdr:cNvSpPr/>
          </xdr:nvSpPr>
          <xdr:spPr>
            <a:xfrm>
              <a:off x="3167063" y="2730502"/>
              <a:ext cx="1333500" cy="603249"/>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14075" t="-94076" r="-15473" b="-133332"/>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7" name="Group 6">
            <a:hlinkClick xmlns:r="http://schemas.openxmlformats.org/officeDocument/2006/relationships" r:id="rId11"/>
            <a:extLst>
              <a:ext uri="{FF2B5EF4-FFF2-40B4-BE49-F238E27FC236}">
                <a16:creationId xmlns:a16="http://schemas.microsoft.com/office/drawing/2014/main" id="{1D695B7E-09B5-4F28-BA89-A38F7B4D9D12}"/>
              </a:ext>
            </a:extLst>
          </xdr:cNvPr>
          <xdr:cNvGrpSpPr/>
        </xdr:nvGrpSpPr>
        <xdr:grpSpPr>
          <a:xfrm>
            <a:off x="14580314" y="128040"/>
            <a:ext cx="2766356" cy="623230"/>
            <a:chOff x="7597777" y="890587"/>
            <a:chExt cx="2770188" cy="619125"/>
          </a:xfrm>
        </xdr:grpSpPr>
        <xdr:sp macro="" textlink="">
          <xdr:nvSpPr>
            <xdr:cNvPr id="8" name="Rectangle: Rounded Corners 7">
              <a:extLst>
                <a:ext uri="{FF2B5EF4-FFF2-40B4-BE49-F238E27FC236}">
                  <a16:creationId xmlns:a16="http://schemas.microsoft.com/office/drawing/2014/main" id="{CD36E475-DBBB-4112-B1C7-4281DA8B359A}"/>
                </a:ext>
              </a:extLst>
            </xdr:cNvPr>
            <xdr:cNvSpPr/>
          </xdr:nvSpPr>
          <xdr:spPr>
            <a:xfrm>
              <a:off x="7597777" y="890587"/>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Synthèse</a:t>
              </a:r>
              <a:endParaRPr lang="fr-TN" sz="1200" b="1">
                <a:latin typeface="Arial" panose="020B0604020202020204" pitchFamily="34" charset="0"/>
                <a:cs typeface="Arial" panose="020B0604020202020204" pitchFamily="34" charset="0"/>
              </a:endParaRPr>
            </a:p>
          </xdr:txBody>
        </xdr:sp>
        <xdr:pic>
          <xdr:nvPicPr>
            <xdr:cNvPr id="9" name="Graphic 8" descr="Clipboard with solid fill">
              <a:extLst>
                <a:ext uri="{FF2B5EF4-FFF2-40B4-BE49-F238E27FC236}">
                  <a16:creationId xmlns:a16="http://schemas.microsoft.com/office/drawing/2014/main" id="{8F7F2C68-B4E6-4419-906D-140F1F2A8ED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691438" y="920750"/>
              <a:ext cx="547688" cy="547688"/>
            </a:xfrm>
            <a:prstGeom prst="rect">
              <a:avLst/>
            </a:prstGeom>
          </xdr:spPr>
        </xdr:pic>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870F78-4DF8-4564-91AC-029A6A602956}" name="Table13" displayName="Table13" ref="A7:I52" totalsRowShown="0" headerRowBorderDxfId="106" tableBorderDxfId="105">
  <autoFilter ref="A7:I52" xr:uid="{784BE162-9CD9-4B51-957A-01183C651B5F}"/>
  <tableColumns count="9">
    <tableColumn id="6" xr3:uid="{71347185-D6BF-4699-A068-1BB7126B50FB}" name="Chapitres" dataDxfId="104"/>
    <tableColumn id="1" xr3:uid="{70B9AC42-5546-4E24-B999-6F89661337FC}" name="Clause" dataDxfId="103"/>
    <tableColumn id="2" xr3:uid="{AAF55C71-7B9D-44E2-B29C-085B2BF73939}" name="Exigences " dataDxfId="102"/>
    <tableColumn id="3" xr3:uid="{E3A9B722-8EE9-45A6-8D4C-F2EE2779AED9}" name="Documents attendu" dataDxfId="101"/>
    <tableColumn id="4" xr3:uid="{346146EB-F07E-43FD-8C4D-2BCED5750F94}" name="Niveau de conformité" dataDxfId="100"/>
    <tableColumn id="8" xr3:uid="{139DB23B-996D-4B51-A2CD-C6F57A9CFDDE}" name="Document consulté" dataDxfId="99"/>
    <tableColumn id="9" xr3:uid="{1FEBA051-3696-4E46-AB44-0634FE83FBA6}" name="Référence Qualipro de document" dataDxfId="62"/>
    <tableColumn id="7" xr3:uid="{1E86EE76-8D6B-4923-9D51-883240488909}" name="Commentaires" dataDxfId="60"/>
    <tableColumn id="5" xr3:uid="{583292B5-772C-4580-883B-7D8E345BD471}" name="% de conformité" dataDxfId="61">
      <calculatedColumnFormula array="1">_xlfn.IFS(Table13[[#This Row],[Niveau de conformité]]="Partiellement appliqué", 1, Table13[[#This Row],[Niveau de conformité]]="Largeement appliqué", 2, Table13[[#This Row],[Niveau de conformité]]="Totalement appliqué", 3, TRUE, 0)/1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98E3EC-56A5-41ED-9F9C-D10D0F7B6012}" name="Table1" displayName="Table1" ref="A7:I45" totalsRowShown="0" headerRowDxfId="98" headerRowBorderDxfId="97" tableBorderDxfId="96" totalsRowBorderDxfId="95">
  <autoFilter ref="A7:I45" xr:uid="{AD98E3EC-56A5-41ED-9F9C-D10D0F7B6012}"/>
  <tableColumns count="9">
    <tableColumn id="4" xr3:uid="{EDCD5139-8F59-4B05-943A-99FFF8AB6D19}" name="Chapitres" dataDxfId="94"/>
    <tableColumn id="1" xr3:uid="{0AD0FE31-D00B-450B-8A6D-90469065656E}" name="Clause" dataDxfId="93"/>
    <tableColumn id="2" xr3:uid="{F19D4AB4-2DDA-4431-B2DC-51BA7657DB2B}" name="Exigences " dataDxfId="92"/>
    <tableColumn id="7" xr3:uid="{368290F4-B8BF-4235-A8F0-2D88123AB1C0}" name="Document attendu" dataDxfId="91"/>
    <tableColumn id="3" xr3:uid="{6263B242-405C-4D29-A2ED-E871A331F6B4}" name="Niveau de conformité" dataDxfId="90"/>
    <tableColumn id="5" xr3:uid="{E1C4E753-0AA9-4444-80F9-33C8DEF82F95}" name="Document consulté" dataDxfId="89"/>
    <tableColumn id="9" xr3:uid="{A8594F70-2FB9-416E-A771-3AD65857429E}" name="Reférence Qualipro de document" dataDxfId="88"/>
    <tableColumn id="6" xr3:uid="{591EC1C0-68E7-4B3E-A762-D5C1A64EAE14}" name="Commentaires" dataDxfId="87"/>
    <tableColumn id="8" xr3:uid="{1BAA9440-DC4E-4655-AF4F-962A47264A5B}" name="% de conformité" dataDxfId="86">
      <calculatedColumnFormula array="1">_xlfn.IFS(Table1[[#This Row],[Niveau de conformité]]="Partiellement appliqué", 1, Table1[[#This Row],[Niveau de conformité]]="Largement appliqué", 2, Table1[[#This Row],[Niveau de conformité]]="Totalement appliqué", 3, TRUE, 0)/1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9997B0-43ED-47FE-8A12-95444E1F994F}" name="Table134" displayName="Table134" ref="A7:I45" totalsRowShown="0" headerRowDxfId="85" headerRowBorderDxfId="84" tableBorderDxfId="83" totalsRowBorderDxfId="82">
  <autoFilter ref="A7:I45" xr:uid="{784BE162-9CD9-4B51-957A-01183C651B5F}"/>
  <tableColumns count="9">
    <tableColumn id="6" xr3:uid="{F247598E-6048-49F5-AF6E-85471ECE92CE}" name="Chapitres" dataDxfId="81"/>
    <tableColumn id="1" xr3:uid="{FDFAD440-060C-461F-870D-F4860B9A964E}" name="Clause" dataDxfId="80"/>
    <tableColumn id="2" xr3:uid="{DBE0A30F-2675-40CF-94BC-EA586581BDDA}" name="Exigences " dataDxfId="79"/>
    <tableColumn id="3" xr3:uid="{9DC4A977-103E-435F-824C-B70F54838DE7}" name="Document attendu" dataDxfId="78"/>
    <tableColumn id="4" xr3:uid="{0589239D-D2E5-4E91-A052-3AAE47A43B63}" name="Niveau de conformité" dataDxfId="77"/>
    <tableColumn id="8" xr3:uid="{1F157314-41FE-4295-9184-44B2BA0A87E9}" name="Document consulté" dataDxfId="76"/>
    <tableColumn id="11" xr3:uid="{51414332-A48C-4F1E-AE2B-69859D490897}" name="Référence Qualipro de document" dataDxfId="75"/>
    <tableColumn id="7" xr3:uid="{FAE64A05-FEFF-49AB-87FB-77D877F45CD6}" name="Commentaires" dataDxfId="74"/>
    <tableColumn id="5" xr3:uid="{1CE7E68F-3833-4B15-9D38-7E8BAA200421}" name="% de conformité" dataDxfId="73">
      <calculatedColumnFormula array="1">_xlfn.IFS(Table134[[#This Row],[Niveau de conformité]]="Partiellement appliqué", 1, Table134[[#This Row],[Niveau de conformité]]="Largement appliqué", 2, Table134[[#This Row],[Niveau de conformité]]="Totalement appliqué", 3, TRUE, 0)/1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91C03D-53A6-4422-B20F-8233A8D99502}" name="Table6" displayName="Table6" ref="A3:G24" totalsRowShown="0" headerRowDxfId="72" dataDxfId="70" headerRowBorderDxfId="71">
  <autoFilter ref="A3:G24" xr:uid="{A891C03D-53A6-4422-B20F-8233A8D99502}"/>
  <tableColumns count="7">
    <tableColumn id="1" xr3:uid="{9ECF9C52-EFBA-49C4-90C7-E122855BB901}" name="Domaine / Exigence" dataDxfId="69"/>
    <tableColumn id="9" xr3:uid="{3C47F54A-15A1-4592-B064-ADFAA84E0289}" name="Clause" dataDxfId="68"/>
    <tableColumn id="2" xr3:uid="{338F7713-C2D4-4818-8612-EBCB7C06357B}" name="Référence ISO" dataDxfId="67"/>
    <tableColumn id="3" xr3:uid="{091482A4-EFB5-43C5-830C-AC9E1900FA14}" name="Documents attendu" dataDxfId="66"/>
    <tableColumn id="4" xr3:uid="{F344CFAD-1446-4653-A0C9-188EEBC05C05}" name="Documents disponibles" dataDxfId="65"/>
    <tableColumn id="6" xr3:uid="{22EAD062-A3D2-45B6-88D7-33DCACF9BB27}" name="Référence Qualipro" dataDxfId="64"/>
    <tableColumn id="5" xr3:uid="{3C372989-2BC0-4C0C-928B-7F530E737A8B}" name="Observation" dataDxfId="6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A756-CA23-4620-9B82-14B70A6062B7}">
  <sheetPr>
    <tabColor theme="9" tint="-0.249977111117893"/>
    <pageSetUpPr fitToPage="1"/>
  </sheetPr>
  <dimension ref="A1:Q40"/>
  <sheetViews>
    <sheetView showGridLines="0" tabSelected="1" topLeftCell="A20" zoomScale="58" zoomScaleNormal="58" workbookViewId="0">
      <selection activeCell="E11" sqref="E11:G15"/>
    </sheetView>
  </sheetViews>
  <sheetFormatPr defaultRowHeight="14.4" x14ac:dyDescent="0.3"/>
  <cols>
    <col min="1" max="4" width="8.88671875" style="17"/>
    <col min="5" max="5" width="25.77734375" style="17" customWidth="1"/>
    <col min="6" max="6" width="28.44140625" style="17" customWidth="1"/>
    <col min="7" max="7" width="60.33203125" style="17" customWidth="1"/>
    <col min="8" max="8" width="21.33203125" style="17" customWidth="1"/>
    <col min="9" max="11" width="8.88671875" style="17"/>
    <col min="12" max="12" width="21" style="17" customWidth="1"/>
    <col min="13" max="16384" width="8.88671875" style="17"/>
  </cols>
  <sheetData>
    <row r="1" spans="1:17" s="103" customFormat="1" ht="66" customHeight="1" x14ac:dyDescent="0.3"/>
    <row r="6" spans="1:17" ht="61.2" x14ac:dyDescent="0.3">
      <c r="A6" s="104" t="s">
        <v>157</v>
      </c>
      <c r="B6" s="105"/>
      <c r="C6" s="105"/>
      <c r="D6" s="105"/>
      <c r="E6" s="105"/>
      <c r="F6" s="105"/>
      <c r="G6" s="105"/>
      <c r="H6" s="105"/>
      <c r="I6" s="105"/>
      <c r="J6" s="105"/>
      <c r="K6" s="105"/>
      <c r="L6" s="105"/>
      <c r="O6" s="18"/>
    </row>
    <row r="7" spans="1:17" ht="70.05" customHeight="1" x14ac:dyDescent="0.3"/>
    <row r="8" spans="1:17" ht="70.05" customHeight="1" x14ac:dyDescent="0.3"/>
    <row r="9" spans="1:17" ht="70.05" customHeight="1" x14ac:dyDescent="0.3"/>
    <row r="10" spans="1:17" ht="70.05" customHeight="1" x14ac:dyDescent="0.3"/>
    <row r="11" spans="1:17" ht="40.799999999999997" customHeight="1" x14ac:dyDescent="0.3">
      <c r="A11" s="19"/>
      <c r="E11" s="62" t="s">
        <v>158</v>
      </c>
      <c r="F11" s="62" t="s">
        <v>159</v>
      </c>
      <c r="G11" s="62" t="s">
        <v>160</v>
      </c>
      <c r="H11" s="20"/>
      <c r="I11" s="20"/>
      <c r="J11" s="20"/>
      <c r="K11" s="20"/>
      <c r="L11" s="20"/>
      <c r="M11" s="20"/>
      <c r="N11" s="20"/>
      <c r="O11" s="20"/>
      <c r="P11" s="20"/>
      <c r="Q11" s="20"/>
    </row>
    <row r="12" spans="1:17" ht="40.799999999999997" customHeight="1" x14ac:dyDescent="0.3">
      <c r="A12" s="19"/>
      <c r="E12" s="63">
        <v>0</v>
      </c>
      <c r="F12" s="64" t="s">
        <v>161</v>
      </c>
      <c r="G12" s="65" t="s">
        <v>162</v>
      </c>
      <c r="H12" s="20"/>
      <c r="I12" s="20"/>
      <c r="J12" s="20"/>
      <c r="K12" s="20"/>
      <c r="L12" s="20"/>
      <c r="M12" s="20"/>
      <c r="N12" s="20"/>
      <c r="O12" s="20"/>
      <c r="P12" s="20"/>
      <c r="Q12" s="20"/>
    </row>
    <row r="13" spans="1:17" ht="40.799999999999997" customHeight="1" x14ac:dyDescent="0.3">
      <c r="A13" s="19"/>
      <c r="E13" s="63">
        <v>1</v>
      </c>
      <c r="F13" s="64" t="s">
        <v>163</v>
      </c>
      <c r="G13" s="65" t="s">
        <v>164</v>
      </c>
      <c r="H13" s="20"/>
      <c r="I13" s="20"/>
      <c r="J13" s="20"/>
      <c r="K13" s="20"/>
      <c r="L13" s="20"/>
      <c r="M13" s="20"/>
      <c r="N13" s="20"/>
      <c r="O13" s="20"/>
      <c r="P13" s="20"/>
      <c r="Q13" s="20"/>
    </row>
    <row r="14" spans="1:17" ht="40.799999999999997" customHeight="1" x14ac:dyDescent="0.3">
      <c r="A14" s="19"/>
      <c r="E14" s="63">
        <v>2</v>
      </c>
      <c r="F14" s="64" t="s">
        <v>165</v>
      </c>
      <c r="G14" s="65" t="s">
        <v>166</v>
      </c>
      <c r="H14" s="20"/>
      <c r="I14" s="20"/>
      <c r="J14" s="20"/>
      <c r="K14" s="20"/>
      <c r="L14" s="20"/>
      <c r="M14" s="20"/>
      <c r="N14" s="20"/>
      <c r="O14" s="20"/>
      <c r="P14" s="20"/>
      <c r="Q14" s="20"/>
    </row>
    <row r="15" spans="1:17" ht="40.799999999999997" customHeight="1" x14ac:dyDescent="0.3">
      <c r="A15" s="19"/>
      <c r="E15" s="63">
        <v>3</v>
      </c>
      <c r="F15" s="64" t="s">
        <v>167</v>
      </c>
      <c r="G15" s="65" t="s">
        <v>168</v>
      </c>
      <c r="H15" s="20"/>
      <c r="I15" s="20"/>
      <c r="J15" s="20"/>
      <c r="K15" s="20"/>
      <c r="L15" s="20"/>
      <c r="M15" s="20"/>
      <c r="N15" s="20"/>
      <c r="O15" s="20"/>
      <c r="P15" s="20"/>
      <c r="Q15" s="20"/>
    </row>
    <row r="16" spans="1:17" ht="40.799999999999997" customHeight="1" x14ac:dyDescent="0.3">
      <c r="A16" s="19"/>
      <c r="E16" s="20"/>
      <c r="F16" s="20"/>
      <c r="G16" s="20"/>
      <c r="H16" s="20"/>
      <c r="I16" s="20"/>
      <c r="J16" s="20"/>
      <c r="K16" s="20"/>
      <c r="L16" s="20"/>
      <c r="M16" s="20"/>
      <c r="N16" s="20"/>
      <c r="O16" s="20"/>
      <c r="P16" s="20"/>
      <c r="Q16" s="20"/>
    </row>
    <row r="17" spans="1:17" ht="40.799999999999997" customHeight="1" x14ac:dyDescent="0.3">
      <c r="A17" s="19"/>
      <c r="E17" s="20"/>
      <c r="F17" s="20"/>
      <c r="G17" s="20"/>
      <c r="H17" s="20"/>
      <c r="I17" s="20"/>
      <c r="J17" s="20"/>
      <c r="K17" s="20"/>
      <c r="L17" s="20"/>
      <c r="M17" s="20"/>
      <c r="N17" s="20"/>
      <c r="O17" s="20"/>
      <c r="P17" s="20"/>
      <c r="Q17" s="20"/>
    </row>
    <row r="18" spans="1:17" ht="33.6" customHeight="1" x14ac:dyDescent="0.3">
      <c r="E18" s="66" t="s">
        <v>186</v>
      </c>
      <c r="F18" s="66" t="s">
        <v>187</v>
      </c>
      <c r="G18" s="20"/>
      <c r="H18" s="20"/>
      <c r="I18" s="20"/>
      <c r="J18" s="20"/>
      <c r="K18" s="20"/>
      <c r="L18" s="20"/>
      <c r="M18" s="20"/>
      <c r="N18" s="20"/>
      <c r="O18" s="20"/>
      <c r="P18" s="20"/>
      <c r="Q18" s="20"/>
    </row>
    <row r="19" spans="1:17" ht="28.8" customHeight="1" x14ac:dyDescent="0.3">
      <c r="E19" s="14" t="s">
        <v>188</v>
      </c>
      <c r="F19" s="61"/>
      <c r="G19" s="20"/>
      <c r="H19" s="20"/>
      <c r="I19" s="20"/>
      <c r="J19" s="20"/>
      <c r="K19" s="20"/>
      <c r="L19" s="20"/>
      <c r="M19" s="20"/>
      <c r="N19" s="20"/>
      <c r="O19" s="20"/>
      <c r="P19" s="20"/>
      <c r="Q19" s="20"/>
    </row>
    <row r="20" spans="1:17" ht="33" customHeight="1" x14ac:dyDescent="0.3">
      <c r="A20" s="19"/>
      <c r="E20" s="14" t="s">
        <v>190</v>
      </c>
      <c r="F20" s="61"/>
    </row>
    <row r="21" spans="1:17" ht="36.6" customHeight="1" x14ac:dyDescent="0.3">
      <c r="E21" s="14" t="s">
        <v>189</v>
      </c>
      <c r="F21" s="61"/>
    </row>
    <row r="22" spans="1:17" ht="100.05" customHeight="1" x14ac:dyDescent="0.3"/>
    <row r="23" spans="1:17" ht="100.05" customHeight="1" x14ac:dyDescent="0.3">
      <c r="A23" s="19"/>
      <c r="E23" s="21" t="s">
        <v>211</v>
      </c>
      <c r="F23" s="21" t="s">
        <v>212</v>
      </c>
      <c r="G23" s="21" t="s">
        <v>213</v>
      </c>
      <c r="H23" s="21" t="s">
        <v>214</v>
      </c>
    </row>
    <row r="24" spans="1:17" ht="100.05" customHeight="1" x14ac:dyDescent="0.3">
      <c r="E24" s="22" t="s">
        <v>215</v>
      </c>
      <c r="F24" s="22" t="s">
        <v>216</v>
      </c>
      <c r="G24" s="22" t="s">
        <v>217</v>
      </c>
      <c r="H24" s="22" t="s">
        <v>218</v>
      </c>
      <c r="K24" s="59"/>
      <c r="L24" s="60">
        <v>0.75</v>
      </c>
      <c r="M24" s="60"/>
      <c r="N24" s="60"/>
      <c r="O24" s="46"/>
      <c r="P24" s="46"/>
      <c r="Q24" s="46"/>
    </row>
    <row r="25" spans="1:17" ht="100.05" customHeight="1" x14ac:dyDescent="0.3">
      <c r="E25" s="22" t="s">
        <v>219</v>
      </c>
      <c r="F25" s="22" t="s">
        <v>220</v>
      </c>
      <c r="G25" s="22" t="s">
        <v>221</v>
      </c>
      <c r="H25" s="22" t="s">
        <v>222</v>
      </c>
      <c r="K25" s="59"/>
      <c r="L25" s="60">
        <v>0.5</v>
      </c>
      <c r="M25" s="59"/>
      <c r="N25" s="59"/>
    </row>
    <row r="26" spans="1:17" ht="100.05" customHeight="1" x14ac:dyDescent="0.3">
      <c r="E26" s="22" t="s">
        <v>223</v>
      </c>
      <c r="F26" s="22" t="s">
        <v>224</v>
      </c>
      <c r="G26" s="22" t="s">
        <v>225</v>
      </c>
      <c r="H26" s="22" t="s">
        <v>226</v>
      </c>
      <c r="K26" s="59"/>
      <c r="L26" s="59"/>
      <c r="M26" s="59"/>
      <c r="N26" s="59"/>
    </row>
    <row r="27" spans="1:17" ht="100.05" customHeight="1" x14ac:dyDescent="0.3"/>
    <row r="28" spans="1:17" ht="100.05" customHeight="1" x14ac:dyDescent="0.3"/>
    <row r="29" spans="1:17" ht="100.05" customHeight="1" x14ac:dyDescent="0.3"/>
    <row r="30" spans="1:17" ht="100.05" customHeight="1" x14ac:dyDescent="0.3"/>
    <row r="31" spans="1:17" ht="100.05" customHeight="1" x14ac:dyDescent="0.3"/>
    <row r="32" spans="1:17" ht="100.05" customHeight="1" x14ac:dyDescent="0.3"/>
    <row r="33" spans="1:1" ht="100.05" customHeight="1" x14ac:dyDescent="0.3">
      <c r="A33" s="19"/>
    </row>
    <row r="34" spans="1:1" ht="100.05" customHeight="1" x14ac:dyDescent="0.3"/>
    <row r="35" spans="1:1" ht="100.05" customHeight="1" x14ac:dyDescent="0.3"/>
    <row r="36" spans="1:1" ht="100.05" customHeight="1" x14ac:dyDescent="0.3">
      <c r="A36" s="19"/>
    </row>
    <row r="37" spans="1:1" ht="100.05" customHeight="1" x14ac:dyDescent="0.3"/>
    <row r="38" spans="1:1" ht="100.05" customHeight="1" x14ac:dyDescent="0.3"/>
    <row r="39" spans="1:1" ht="100.05" customHeight="1" x14ac:dyDescent="0.3"/>
    <row r="40" spans="1:1" ht="100.05" customHeight="1" x14ac:dyDescent="0.3"/>
  </sheetData>
  <mergeCells count="2">
    <mergeCell ref="A1:XFD1"/>
    <mergeCell ref="A6:L6"/>
  </mergeCells>
  <pageMargins left="0.7" right="0.7" top="0.75" bottom="0.75" header="0.3" footer="0.3"/>
  <pageSetup paperSize="9" scale="2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293A6-9098-4310-ACA4-EFF31B4C4C2C}">
  <sheetPr>
    <tabColor theme="4" tint="-0.499984740745262"/>
    <pageSetUpPr fitToPage="1"/>
  </sheetPr>
  <dimension ref="A1:M52"/>
  <sheetViews>
    <sheetView showGridLines="0" zoomScale="40" zoomScaleNormal="75" workbookViewId="0">
      <selection activeCell="B9" sqref="B9"/>
    </sheetView>
  </sheetViews>
  <sheetFormatPr defaultRowHeight="14.4" x14ac:dyDescent="0.3"/>
  <cols>
    <col min="1" max="1" width="4.33203125" style="23" customWidth="1"/>
    <col min="2" max="2" width="27.21875" style="15" customWidth="1"/>
    <col min="3" max="3" width="70.5546875" style="1" customWidth="1"/>
    <col min="4" max="4" width="35.88671875" style="15" customWidth="1"/>
    <col min="5" max="5" width="39.33203125" customWidth="1"/>
    <col min="6" max="6" width="37.109375" customWidth="1"/>
    <col min="7" max="7" width="31" style="57" customWidth="1"/>
    <col min="8" max="8" width="76.21875" style="41" customWidth="1"/>
    <col min="9" max="9" width="21.109375" customWidth="1"/>
  </cols>
  <sheetData>
    <row r="1" spans="1:13" s="103" customFormat="1" ht="66" customHeight="1" x14ac:dyDescent="0.3"/>
    <row r="3" spans="1:13" ht="14.4" customHeight="1" x14ac:dyDescent="0.3">
      <c r="B3" s="107" t="s">
        <v>250</v>
      </c>
      <c r="C3" s="107"/>
      <c r="D3" s="2"/>
      <c r="E3" s="2"/>
    </row>
    <row r="4" spans="1:13" ht="31.2" customHeight="1" x14ac:dyDescent="0.3">
      <c r="B4" s="107"/>
      <c r="C4" s="107"/>
      <c r="D4" s="2"/>
      <c r="E4" s="2"/>
    </row>
    <row r="5" spans="1:13" s="4" customFormat="1" ht="16.2" customHeight="1" x14ac:dyDescent="0.3">
      <c r="A5" s="24"/>
      <c r="B5" s="107"/>
      <c r="C5" s="107"/>
      <c r="D5" s="5"/>
      <c r="E5" s="5"/>
      <c r="F5" s="5"/>
      <c r="G5" s="5"/>
      <c r="H5" s="42"/>
    </row>
    <row r="6" spans="1:13" ht="16.2" customHeight="1" x14ac:dyDescent="0.3">
      <c r="B6" s="108"/>
      <c r="C6" s="108"/>
      <c r="D6" s="16"/>
      <c r="E6" s="106"/>
      <c r="F6" s="106"/>
      <c r="G6" s="106"/>
      <c r="H6" s="106"/>
    </row>
    <row r="7" spans="1:13" s="4" customFormat="1" ht="16.2" customHeight="1" x14ac:dyDescent="0.3">
      <c r="A7" s="24" t="s">
        <v>169</v>
      </c>
      <c r="B7" s="96" t="s">
        <v>78</v>
      </c>
      <c r="C7" s="96" t="s">
        <v>77</v>
      </c>
      <c r="D7" s="96" t="s">
        <v>200</v>
      </c>
      <c r="E7" s="97" t="s">
        <v>159</v>
      </c>
      <c r="F7" s="97" t="s">
        <v>179</v>
      </c>
      <c r="G7" s="97" t="s">
        <v>238</v>
      </c>
      <c r="H7" s="97" t="s">
        <v>178</v>
      </c>
      <c r="I7" s="43" t="s">
        <v>211</v>
      </c>
      <c r="J7" s="5"/>
      <c r="K7" s="5"/>
      <c r="L7" s="5"/>
      <c r="M7" s="5"/>
    </row>
    <row r="8" spans="1:13" s="4" customFormat="1" ht="16.2" customHeight="1" x14ac:dyDescent="0.3">
      <c r="A8" s="23">
        <v>4</v>
      </c>
      <c r="B8" s="33"/>
      <c r="C8" s="27" t="s">
        <v>1</v>
      </c>
      <c r="D8" s="27"/>
      <c r="E8" s="34"/>
      <c r="F8" s="34"/>
      <c r="G8" s="34"/>
      <c r="H8" s="33"/>
      <c r="I8" s="44"/>
      <c r="J8" s="5"/>
      <c r="K8" s="5"/>
      <c r="L8" s="5"/>
      <c r="M8" s="5"/>
    </row>
    <row r="9" spans="1:13" s="4" customFormat="1" ht="16.2" customHeight="1" x14ac:dyDescent="0.3">
      <c r="A9" s="23">
        <v>4</v>
      </c>
      <c r="B9" s="33"/>
      <c r="C9" s="28" t="s">
        <v>83</v>
      </c>
      <c r="D9" s="28"/>
      <c r="E9" s="34"/>
      <c r="F9" s="34"/>
      <c r="G9" s="34"/>
      <c r="H9" s="33"/>
      <c r="I9" s="39">
        <f>AVERAGE(I10:I13)/3</f>
        <v>0</v>
      </c>
      <c r="J9" s="5"/>
      <c r="K9" s="5"/>
      <c r="L9" s="5"/>
      <c r="M9" s="5"/>
    </row>
    <row r="10" spans="1:13" ht="32.4" customHeight="1" x14ac:dyDescent="0.3">
      <c r="A10" s="23">
        <v>4</v>
      </c>
      <c r="B10" s="12" t="s">
        <v>2</v>
      </c>
      <c r="C10" s="14" t="s">
        <v>133</v>
      </c>
      <c r="D10" s="35" t="s">
        <v>134</v>
      </c>
      <c r="E10" s="35"/>
      <c r="F10" s="35"/>
      <c r="G10" s="56"/>
      <c r="H10" s="33"/>
      <c r="I10" s="45" cm="1">
        <f t="array" ref="I10">_xlfn.IFS(Table13[[#This Row],[Niveau de conformité]]="Partiellement appliqué", 1, Table13[[#This Row],[Niveau de conformité]]="Largement appliqué", 2, Table13[[#This Row],[Niveau de conformité]]="Totalement appliqué", 3, TRUE, 0)/1</f>
        <v>0</v>
      </c>
      <c r="J10" s="6"/>
      <c r="K10" s="6"/>
      <c r="L10" s="6"/>
      <c r="M10" s="6"/>
    </row>
    <row r="11" spans="1:13" ht="32.4" customHeight="1" x14ac:dyDescent="0.3">
      <c r="A11" s="23">
        <v>4</v>
      </c>
      <c r="B11" s="12" t="s">
        <v>6</v>
      </c>
      <c r="C11" s="13" t="s">
        <v>132</v>
      </c>
      <c r="D11" s="35"/>
      <c r="E11" s="35"/>
      <c r="F11" s="35"/>
      <c r="G11" s="56"/>
      <c r="H11" s="33"/>
      <c r="I11" s="45" cm="1">
        <f t="array" ref="I11">_xlfn.IFS(Table13[[#This Row],[Niveau de conformité]]="Partiellement appliqué", 1, Table13[[#This Row],[Niveau de conformité]]="Largement appliqué", 2, Table13[[#This Row],[Niveau de conformité]]="Totalement appliqué", 3, TRUE, 0)/1</f>
        <v>0</v>
      </c>
      <c r="J11" s="6"/>
      <c r="K11" s="6"/>
      <c r="L11" s="6"/>
      <c r="M11" s="6"/>
    </row>
    <row r="12" spans="1:13" ht="32.4" customHeight="1" x14ac:dyDescent="0.3">
      <c r="A12" s="23">
        <v>4</v>
      </c>
      <c r="B12" s="12" t="s">
        <v>7</v>
      </c>
      <c r="C12" s="14" t="s">
        <v>9</v>
      </c>
      <c r="D12" s="35"/>
      <c r="E12" s="35"/>
      <c r="F12" s="35"/>
      <c r="G12" s="56"/>
      <c r="H12" s="33"/>
      <c r="I12" s="45" cm="1">
        <f t="array" ref="I12">_xlfn.IFS(Table13[[#This Row],[Niveau de conformité]]="Partiellement appliqué", 1, Table13[[#This Row],[Niveau de conformité]]="Largement appliqué", 2, Table13[[#This Row],[Niveau de conformité]]="Totalement appliqué", 3, TRUE, 0)/1</f>
        <v>0</v>
      </c>
      <c r="J12" s="6"/>
      <c r="K12" s="6"/>
      <c r="L12" s="6"/>
      <c r="M12" s="6"/>
    </row>
    <row r="13" spans="1:13" ht="32.4" customHeight="1" x14ac:dyDescent="0.3">
      <c r="A13" s="23">
        <v>4</v>
      </c>
      <c r="B13" s="12" t="s">
        <v>2</v>
      </c>
      <c r="C13" s="13" t="s">
        <v>11</v>
      </c>
      <c r="D13" s="35"/>
      <c r="E13" s="35"/>
      <c r="F13" s="35"/>
      <c r="G13" s="56"/>
      <c r="H13" s="33"/>
      <c r="I13" s="45" cm="1">
        <f t="array" ref="I13">_xlfn.IFS(Table13[[#This Row],[Niveau de conformité]]="Partiellement appliqué", 1, Table13[[#This Row],[Niveau de conformité]]="Largement appliqué", 2, Table13[[#This Row],[Niveau de conformité]]="Totalement appliqué", 3, TRUE, 0)/1</f>
        <v>0</v>
      </c>
      <c r="J13" s="6"/>
      <c r="K13" s="6"/>
      <c r="L13" s="6"/>
      <c r="M13" s="6"/>
    </row>
    <row r="14" spans="1:13" s="4" customFormat="1" ht="16.2" customHeight="1" x14ac:dyDescent="0.3">
      <c r="A14" s="23">
        <v>4</v>
      </c>
      <c r="B14" s="33"/>
      <c r="C14" s="28" t="s">
        <v>227</v>
      </c>
      <c r="D14" s="28"/>
      <c r="E14" s="35"/>
      <c r="F14" s="35"/>
      <c r="G14" s="56"/>
      <c r="H14" s="33"/>
      <c r="I14" s="39">
        <f>AVERAGE(I15)/3</f>
        <v>0</v>
      </c>
      <c r="J14" s="5"/>
      <c r="K14" s="5"/>
      <c r="L14" s="5"/>
      <c r="M14" s="5"/>
    </row>
    <row r="15" spans="1:13" ht="32.4" customHeight="1" x14ac:dyDescent="0.3">
      <c r="A15" s="23">
        <v>4</v>
      </c>
      <c r="B15" s="12" t="s">
        <v>3</v>
      </c>
      <c r="C15" s="14" t="s">
        <v>52</v>
      </c>
      <c r="D15" s="12" t="s">
        <v>175</v>
      </c>
      <c r="E15" s="35"/>
      <c r="F15" s="35"/>
      <c r="G15" s="56"/>
      <c r="H15" s="33"/>
      <c r="I15" s="45" cm="1">
        <f t="array" ref="I15">_xlfn.IFS(Table13[[#This Row],[Niveau de conformité]]="Partiellement appliqué", 1, Table13[[#This Row],[Niveau de conformité]]="Largement appliqué", 2, Table13[[#This Row],[Niveau de conformité]]="Totalement appliqué", 3, TRUE, 0)/1</f>
        <v>0</v>
      </c>
      <c r="J15" s="6"/>
      <c r="K15" s="6"/>
      <c r="L15" s="6"/>
      <c r="M15" s="6"/>
    </row>
    <row r="16" spans="1:13" ht="16.2" customHeight="1" x14ac:dyDescent="0.3">
      <c r="A16" s="23">
        <v>5</v>
      </c>
      <c r="B16" s="25"/>
      <c r="C16" s="27" t="s">
        <v>4</v>
      </c>
      <c r="D16" s="12"/>
      <c r="E16" s="35"/>
      <c r="F16" s="35"/>
      <c r="G16" s="56"/>
      <c r="H16" s="33"/>
      <c r="I16" s="40"/>
      <c r="J16" s="106"/>
      <c r="K16" s="106"/>
      <c r="L16" s="106"/>
      <c r="M16" s="106"/>
    </row>
    <row r="17" spans="1:13" ht="16.2" customHeight="1" x14ac:dyDescent="0.3">
      <c r="A17" s="23">
        <v>5</v>
      </c>
      <c r="B17" s="12"/>
      <c r="C17" s="28" t="s">
        <v>84</v>
      </c>
      <c r="D17" s="27"/>
      <c r="E17" s="35"/>
      <c r="F17" s="35"/>
      <c r="G17" s="56"/>
      <c r="H17" s="33"/>
      <c r="I17" s="39">
        <f>AVERAGE(I19:I25)/3</f>
        <v>0</v>
      </c>
      <c r="J17" s="16"/>
      <c r="K17" s="16"/>
      <c r="L17" s="16"/>
      <c r="M17" s="16"/>
    </row>
    <row r="18" spans="1:13" ht="16.2" customHeight="1" x14ac:dyDescent="0.3">
      <c r="A18" s="23">
        <v>5</v>
      </c>
      <c r="B18" s="12" t="s">
        <v>171</v>
      </c>
      <c r="C18" s="29" t="s">
        <v>191</v>
      </c>
      <c r="D18" s="12" t="s">
        <v>174</v>
      </c>
      <c r="E18" s="35"/>
      <c r="F18" s="35"/>
      <c r="G18" s="56"/>
      <c r="H18" s="33"/>
      <c r="I18" s="45" cm="1">
        <f t="array" ref="I18">_xlfn.IFS(Table13[[#This Row],[Niveau de conformité]]="Partiellement appliqué", 1, Table13[[#This Row],[Niveau de conformité]]="Largement appliqué", 2, Table13[[#This Row],[Niveau de conformité]]="Totalement appliqué", 3, TRUE, 0)/1</f>
        <v>0</v>
      </c>
      <c r="J18" s="16"/>
      <c r="K18" s="16"/>
      <c r="L18" s="16"/>
      <c r="M18" s="16"/>
    </row>
    <row r="19" spans="1:13" ht="100.2" customHeight="1" x14ac:dyDescent="0.3">
      <c r="A19" s="23">
        <v>5</v>
      </c>
      <c r="B19" s="12" t="s">
        <v>100</v>
      </c>
      <c r="C19" s="13" t="s">
        <v>99</v>
      </c>
      <c r="D19" s="35" t="s">
        <v>202</v>
      </c>
      <c r="E19" s="35"/>
      <c r="F19" s="35"/>
      <c r="G19" s="56"/>
      <c r="H19" s="33"/>
      <c r="I19" s="45" cm="1">
        <f t="array" ref="I19">_xlfn.IFS(Table13[[#This Row],[Niveau de conformité]]="Partiellement appliqué", 1, Table13[[#This Row],[Niveau de conformité]]="Largement appliqué", 2, Table13[[#This Row],[Niveau de conformité]]="Totalement appliqué", 3, TRUE, 0)/1</f>
        <v>0</v>
      </c>
      <c r="J19" s="16"/>
      <c r="K19" s="16"/>
      <c r="L19" s="16"/>
      <c r="M19" s="16"/>
    </row>
    <row r="20" spans="1:13" ht="96.6" customHeight="1" x14ac:dyDescent="0.3">
      <c r="A20" s="23">
        <v>5</v>
      </c>
      <c r="B20" s="12" t="s">
        <v>101</v>
      </c>
      <c r="C20" s="13" t="s">
        <v>103</v>
      </c>
      <c r="D20" s="35" t="s">
        <v>203</v>
      </c>
      <c r="E20" s="35"/>
      <c r="F20" s="35"/>
      <c r="G20" s="56"/>
      <c r="H20" s="33"/>
      <c r="I20" s="45" cm="1">
        <f t="array" ref="I20">_xlfn.IFS(Table13[[#This Row],[Niveau de conformité]]="Partiellement appliqué", 1, Table13[[#This Row],[Niveau de conformité]]="Largement appliqué", 2, Table13[[#This Row],[Niveau de conformité]]="Totalement appliqué", 3, TRUE, 0)/1</f>
        <v>0</v>
      </c>
      <c r="J20" s="38"/>
      <c r="K20" s="38"/>
      <c r="L20" s="38"/>
      <c r="M20" s="38"/>
    </row>
    <row r="21" spans="1:13" ht="116.4" customHeight="1" x14ac:dyDescent="0.3">
      <c r="A21" s="23">
        <v>5</v>
      </c>
      <c r="B21" s="12" t="s">
        <v>104</v>
      </c>
      <c r="C21" s="13" t="s">
        <v>102</v>
      </c>
      <c r="D21" s="35"/>
      <c r="E21" s="35"/>
      <c r="F21" s="35"/>
      <c r="G21" s="56"/>
      <c r="H21" s="33"/>
      <c r="I21" s="45" cm="1">
        <f t="array" ref="I21">_xlfn.IFS(Table13[[#This Row],[Niveau de conformité]]="Partiellement appliqué", 1, Table13[[#This Row],[Niveau de conformité]]="Largement appliqué", 2, Table13[[#This Row],[Niveau de conformité]]="Totalement appliqué", 3, TRUE, 0)/1</f>
        <v>0</v>
      </c>
      <c r="J21" s="38"/>
      <c r="K21" s="38"/>
      <c r="L21" s="38"/>
      <c r="M21" s="38"/>
    </row>
    <row r="22" spans="1:13" ht="16.2" customHeight="1" x14ac:dyDescent="0.3">
      <c r="A22" s="23">
        <v>5</v>
      </c>
      <c r="B22" s="12" t="s">
        <v>106</v>
      </c>
      <c r="C22" s="13" t="s">
        <v>105</v>
      </c>
      <c r="D22" s="35"/>
      <c r="E22" s="35"/>
      <c r="F22" s="35"/>
      <c r="G22" s="56"/>
      <c r="H22" s="33"/>
      <c r="I22" s="45" cm="1">
        <f t="array" ref="I22">_xlfn.IFS(Table13[[#This Row],[Niveau de conformité]]="Partiellement appliqué", 1, Table13[[#This Row],[Niveau de conformité]]="Largement appliqué", 2, Table13[[#This Row],[Niveau de conformité]]="Totalement appliqué", 3, TRUE, 0)/1</f>
        <v>0</v>
      </c>
      <c r="J22" s="38"/>
      <c r="K22" s="38"/>
      <c r="L22" s="38"/>
      <c r="M22" s="38"/>
    </row>
    <row r="23" spans="1:13" ht="181.2" customHeight="1" x14ac:dyDescent="0.3">
      <c r="A23" s="23">
        <v>5</v>
      </c>
      <c r="B23" s="12" t="s">
        <v>107</v>
      </c>
      <c r="C23" s="13" t="s">
        <v>109</v>
      </c>
      <c r="D23" s="36" t="s">
        <v>239</v>
      </c>
      <c r="E23" s="35"/>
      <c r="F23" s="35"/>
      <c r="G23" s="56"/>
      <c r="H23" s="33"/>
      <c r="I23" s="45" cm="1">
        <f t="array" ref="I23">_xlfn.IFS(Table13[[#This Row],[Niveau de conformité]]="Partiellement appliqué", 1, Table13[[#This Row],[Niveau de conformité]]="Largement appliqué", 2, Table13[[#This Row],[Niveau de conformité]]="Totalement appliqué", 3, TRUE, 0)/1</f>
        <v>0</v>
      </c>
      <c r="J23" s="38"/>
      <c r="K23" s="38"/>
      <c r="L23" s="38"/>
      <c r="M23" s="38"/>
    </row>
    <row r="24" spans="1:13" ht="112.2" customHeight="1" x14ac:dyDescent="0.3">
      <c r="A24" s="23">
        <v>5</v>
      </c>
      <c r="B24" s="12" t="s">
        <v>108</v>
      </c>
      <c r="C24" s="13" t="s">
        <v>201</v>
      </c>
      <c r="D24" s="36" t="s">
        <v>235</v>
      </c>
      <c r="E24" s="35"/>
      <c r="F24" s="35"/>
      <c r="G24" s="56"/>
      <c r="H24" s="33"/>
      <c r="I24" s="45" cm="1">
        <f t="array" ref="I24">_xlfn.IFS(Table13[[#This Row],[Niveau de conformité]]="Partiellement appliqué", 1, Table13[[#This Row],[Niveau de conformité]]="Largement appliqué", 2, Table13[[#This Row],[Niveau de conformité]]="Totalement appliqué", 3, TRUE, 0)/1</f>
        <v>0</v>
      </c>
      <c r="J24" s="6"/>
      <c r="K24" s="6"/>
      <c r="L24" s="6"/>
      <c r="M24" s="6"/>
    </row>
    <row r="25" spans="1:13" ht="33.6" customHeight="1" x14ac:dyDescent="0.3">
      <c r="A25" s="23">
        <v>5</v>
      </c>
      <c r="B25" s="25" t="s">
        <v>172</v>
      </c>
      <c r="C25" s="30" t="s">
        <v>173</v>
      </c>
      <c r="D25" s="12" t="s">
        <v>174</v>
      </c>
      <c r="E25" s="35"/>
      <c r="F25" s="35"/>
      <c r="G25" s="56"/>
      <c r="H25" s="33"/>
      <c r="I25" s="45" cm="1">
        <f t="array" ref="I25">_xlfn.IFS(Table13[[#This Row],[Niveau de conformité]]="Partiellement appliqué", 1, Table13[[#This Row],[Niveau de conformité]]="Largement appliqué", 2, Table13[[#This Row],[Niveau de conformité]]="Totalement appliqué", 3, TRUE, 0)/1</f>
        <v>0</v>
      </c>
      <c r="J25" s="6"/>
      <c r="K25" s="6"/>
      <c r="L25" s="6"/>
      <c r="M25" s="6"/>
    </row>
    <row r="26" spans="1:13" ht="33.6" customHeight="1" x14ac:dyDescent="0.3">
      <c r="A26" s="23">
        <v>6</v>
      </c>
      <c r="B26" s="25"/>
      <c r="C26" s="27" t="s">
        <v>5</v>
      </c>
      <c r="D26" s="27"/>
      <c r="E26" s="35"/>
      <c r="F26" s="35"/>
      <c r="G26" s="56"/>
      <c r="H26" s="33"/>
      <c r="I26" s="34"/>
      <c r="J26" s="6"/>
      <c r="K26" s="6"/>
      <c r="L26" s="6"/>
      <c r="M26" s="6"/>
    </row>
    <row r="27" spans="1:13" ht="47.4" customHeight="1" x14ac:dyDescent="0.3">
      <c r="A27" s="23">
        <v>6</v>
      </c>
      <c r="B27" s="12"/>
      <c r="C27" s="28" t="s">
        <v>85</v>
      </c>
      <c r="D27" s="28"/>
      <c r="E27" s="35"/>
      <c r="F27" s="35"/>
      <c r="G27" s="56"/>
      <c r="H27" s="33"/>
      <c r="I27" s="34"/>
      <c r="J27" s="6"/>
      <c r="K27" s="6"/>
      <c r="L27" s="6"/>
      <c r="M27" s="6"/>
    </row>
    <row r="28" spans="1:13" ht="16.2" customHeight="1" x14ac:dyDescent="0.3">
      <c r="A28" s="23">
        <v>6</v>
      </c>
      <c r="B28" s="12"/>
      <c r="C28" s="28" t="s">
        <v>86</v>
      </c>
      <c r="D28" s="28"/>
      <c r="E28" s="35"/>
      <c r="F28" s="35"/>
      <c r="G28" s="56"/>
      <c r="H28" s="33"/>
      <c r="I28" s="39">
        <f>AVERAGE(I29:I33)/3</f>
        <v>0</v>
      </c>
      <c r="J28" s="16"/>
      <c r="K28" s="16"/>
      <c r="L28" s="16"/>
      <c r="M28" s="16"/>
    </row>
    <row r="29" spans="1:13" ht="126" customHeight="1" x14ac:dyDescent="0.3">
      <c r="A29" s="23">
        <v>6</v>
      </c>
      <c r="B29" s="12" t="s">
        <v>13</v>
      </c>
      <c r="C29" s="13" t="s">
        <v>12</v>
      </c>
      <c r="D29" s="36" t="s">
        <v>135</v>
      </c>
      <c r="E29" s="35"/>
      <c r="F29" s="35"/>
      <c r="G29" s="56"/>
      <c r="H29" s="33"/>
      <c r="I29" s="45" cm="1">
        <f t="array" ref="I29">_xlfn.IFS(Table13[[#This Row],[Niveau de conformité]]="Partiellement appliqué", 1, Table13[[#This Row],[Niveau de conformité]]="Largement appliqué", 2, Table13[[#This Row],[Niveau de conformité]]="Totalement appliqué", 3, TRUE, 0)/1</f>
        <v>0</v>
      </c>
      <c r="J29" s="6"/>
      <c r="K29" s="6"/>
      <c r="L29" s="6"/>
      <c r="M29" s="6"/>
    </row>
    <row r="30" spans="1:13" ht="33.6" customHeight="1" x14ac:dyDescent="0.3">
      <c r="A30" s="23">
        <v>6</v>
      </c>
      <c r="B30" s="12" t="s">
        <v>15</v>
      </c>
      <c r="C30" s="13" t="s">
        <v>192</v>
      </c>
      <c r="D30" s="36" t="s">
        <v>208</v>
      </c>
      <c r="E30" s="35"/>
      <c r="F30" s="35"/>
      <c r="G30" s="56"/>
      <c r="H30" s="33"/>
      <c r="I30" s="45" cm="1">
        <f t="array" ref="I30">_xlfn.IFS(Table13[[#This Row],[Niveau de conformité]]="Partiellement appliqué", 1, Table13[[#This Row],[Niveau de conformité]]="Largement appliqué", 2, Table13[[#This Row],[Niveau de conformité]]="Totalement appliqué", 3, TRUE, 0)/1</f>
        <v>0</v>
      </c>
      <c r="J30" s="6"/>
      <c r="K30" s="6"/>
      <c r="L30" s="6"/>
      <c r="M30" s="6"/>
    </row>
    <row r="31" spans="1:13" ht="33.6" customHeight="1" x14ac:dyDescent="0.3">
      <c r="A31" s="23">
        <v>6</v>
      </c>
      <c r="B31" s="12" t="s">
        <v>14</v>
      </c>
      <c r="C31" s="13" t="s">
        <v>49</v>
      </c>
      <c r="D31" s="36"/>
      <c r="E31" s="35"/>
      <c r="F31" s="35"/>
      <c r="G31" s="56"/>
      <c r="H31" s="33"/>
      <c r="I31" s="45" cm="1">
        <f t="array" ref="I31">_xlfn.IFS(Table13[[#This Row],[Niveau de conformité]]="Partiellement appliqué", 1, Table13[[#This Row],[Niveau de conformité]]="Largement appliqué", 2, Table13[[#This Row],[Niveau de conformité]]="Totalement appliqué", 3, TRUE, 0)/1</f>
        <v>0</v>
      </c>
      <c r="J31" s="6"/>
      <c r="K31" s="6"/>
      <c r="L31" s="6"/>
      <c r="M31" s="6"/>
    </row>
    <row r="32" spans="1:13" ht="33.6" customHeight="1" x14ac:dyDescent="0.3">
      <c r="A32" s="23">
        <v>6</v>
      </c>
      <c r="B32" s="12" t="s">
        <v>16</v>
      </c>
      <c r="C32" s="13" t="s">
        <v>50</v>
      </c>
      <c r="D32" s="36"/>
      <c r="E32" s="35"/>
      <c r="F32" s="35"/>
      <c r="G32" s="56"/>
      <c r="H32" s="33"/>
      <c r="I32" s="45" cm="1">
        <f t="array" ref="I32">_xlfn.IFS(Table13[[#This Row],[Niveau de conformité]]="Partiellement appliqué", 1, Table13[[#This Row],[Niveau de conformité]]="Largement appliqué", 2, Table13[[#This Row],[Niveau de conformité]]="Totalement appliqué", 3, TRUE, 0)/1</f>
        <v>0</v>
      </c>
      <c r="J32" s="6"/>
      <c r="K32" s="6"/>
      <c r="L32" s="6"/>
      <c r="M32" s="6"/>
    </row>
    <row r="33" spans="1:13" ht="33.6" customHeight="1" x14ac:dyDescent="0.3">
      <c r="A33" s="23">
        <v>6</v>
      </c>
      <c r="B33" s="12" t="s">
        <v>17</v>
      </c>
      <c r="C33" s="13" t="s">
        <v>236</v>
      </c>
      <c r="D33" s="36"/>
      <c r="E33" s="35"/>
      <c r="F33" s="35"/>
      <c r="G33" s="56"/>
      <c r="H33" s="33"/>
      <c r="I33" s="45" cm="1">
        <f t="array" ref="I33">_xlfn.IFS(Table13[[#This Row],[Niveau de conformité]]="Partiellement appliqué", 1, Table13[[#This Row],[Niveau de conformité]]="Largement appliqué", 2, Table13[[#This Row],[Niveau de conformité]]="Totalement appliqué", 3, TRUE, 0)/1</f>
        <v>0</v>
      </c>
      <c r="J33" s="6"/>
      <c r="K33" s="6"/>
      <c r="L33" s="6"/>
      <c r="M33" s="6"/>
    </row>
    <row r="34" spans="1:13" ht="21" x14ac:dyDescent="0.3">
      <c r="A34" s="23">
        <v>6</v>
      </c>
      <c r="B34" s="12"/>
      <c r="C34" s="28" t="s">
        <v>180</v>
      </c>
      <c r="D34" s="28"/>
      <c r="E34" s="35"/>
      <c r="F34" s="35"/>
      <c r="G34" s="56"/>
      <c r="H34" s="33"/>
      <c r="I34" s="39">
        <f>AVERAGE(I35:I46)/3</f>
        <v>0</v>
      </c>
      <c r="J34" s="6"/>
      <c r="K34" s="6"/>
      <c r="L34" s="6"/>
      <c r="M34" s="6"/>
    </row>
    <row r="35" spans="1:13" ht="28.8" x14ac:dyDescent="0.3">
      <c r="A35" s="23">
        <v>6</v>
      </c>
      <c r="B35" s="12" t="s">
        <v>48</v>
      </c>
      <c r="C35" s="13" t="s">
        <v>181</v>
      </c>
      <c r="D35" s="12" t="s">
        <v>229</v>
      </c>
      <c r="E35" s="35"/>
      <c r="F35" s="35"/>
      <c r="G35" s="56"/>
      <c r="H35" s="33"/>
      <c r="I35" s="45" cm="1">
        <f t="array" ref="I35">_xlfn.IFS(Table13[[#This Row],[Niveau de conformité]]="Partiellement appliqué", 1, Table13[[#This Row],[Niveau de conformité]]="Largement appliqué", 2, Table13[[#This Row],[Niveau de conformité]]="Totalement appliqué", 3, TRUE, 0)/1</f>
        <v>0</v>
      </c>
      <c r="J35" s="6"/>
      <c r="K35" s="6"/>
      <c r="L35" s="6"/>
      <c r="M35" s="6"/>
    </row>
    <row r="36" spans="1:13" ht="21" x14ac:dyDescent="0.3">
      <c r="A36" s="23">
        <v>6</v>
      </c>
      <c r="B36" s="12" t="s">
        <v>51</v>
      </c>
      <c r="C36" s="13" t="s">
        <v>240</v>
      </c>
      <c r="D36" s="12"/>
      <c r="E36" s="35"/>
      <c r="F36" s="35"/>
      <c r="G36" s="56"/>
      <c r="H36" s="33"/>
      <c r="I36" s="45" cm="1">
        <f t="array" ref="I36">_xlfn.IFS(Table13[[#This Row],[Niveau de conformité]]="Partiellement appliqué", 1, Table13[[#This Row],[Niveau de conformité]]="Largement appliqué", 2, Table13[[#This Row],[Niveau de conformité]]="Totalement appliqué", 3, TRUE, 0)/1</f>
        <v>0</v>
      </c>
      <c r="J36" s="6"/>
      <c r="K36" s="6"/>
      <c r="L36" s="6"/>
      <c r="M36" s="6"/>
    </row>
    <row r="37" spans="1:13" ht="21" x14ac:dyDescent="0.3">
      <c r="A37" s="23">
        <v>6</v>
      </c>
      <c r="B37" s="12" t="s">
        <v>53</v>
      </c>
      <c r="C37" s="13" t="s">
        <v>241</v>
      </c>
      <c r="D37" s="12"/>
      <c r="E37" s="35"/>
      <c r="F37" s="35"/>
      <c r="G37" s="56"/>
      <c r="H37" s="33"/>
      <c r="I37" s="45" cm="1">
        <f t="array" ref="I37">_xlfn.IFS(Table13[[#This Row],[Niveau de conformité]]="Partiellement appliqué", 1, Table13[[#This Row],[Niveau de conformité]]="Largement appliqué", 2, Table13[[#This Row],[Niveau de conformité]]="Totalement appliqué", 3, TRUE, 0)/1</f>
        <v>0</v>
      </c>
      <c r="J37" s="6"/>
      <c r="K37" s="6"/>
      <c r="L37" s="6"/>
      <c r="M37" s="6"/>
    </row>
    <row r="38" spans="1:13" ht="28.8" x14ac:dyDescent="0.3">
      <c r="A38" s="23">
        <v>6</v>
      </c>
      <c r="B38" s="12" t="s">
        <v>54</v>
      </c>
      <c r="C38" s="13" t="s">
        <v>204</v>
      </c>
      <c r="D38" s="12"/>
      <c r="E38" s="35"/>
      <c r="F38" s="35"/>
      <c r="G38" s="56"/>
      <c r="H38" s="33"/>
      <c r="I38" s="45" cm="1">
        <f t="array" ref="I38">_xlfn.IFS(Table13[[#This Row],[Niveau de conformité]]="Partiellement appliqué", 1, Table13[[#This Row],[Niveau de conformité]]="Largement appliqué", 2, Table13[[#This Row],[Niveau de conformité]]="Totalement appliqué", 3, TRUE, 0)/1</f>
        <v>0</v>
      </c>
      <c r="J38" s="6"/>
      <c r="K38" s="6"/>
      <c r="L38" s="6"/>
      <c r="M38" s="6"/>
    </row>
    <row r="39" spans="1:13" ht="21" x14ac:dyDescent="0.3">
      <c r="A39" s="23">
        <v>6</v>
      </c>
      <c r="B39" s="12" t="s">
        <v>55</v>
      </c>
      <c r="C39" s="13" t="s">
        <v>242</v>
      </c>
      <c r="D39" s="12"/>
      <c r="E39" s="35"/>
      <c r="F39" s="35"/>
      <c r="G39" s="56"/>
      <c r="H39" s="33"/>
      <c r="I39" s="45" cm="1">
        <f t="array" ref="I39">_xlfn.IFS(Table13[[#This Row],[Niveau de conformité]]="Partiellement appliqué", 1, Table13[[#This Row],[Niveau de conformité]]="Largement appliqué", 2, Table13[[#This Row],[Niveau de conformité]]="Totalement appliqué", 3, TRUE, 0)/1</f>
        <v>0</v>
      </c>
      <c r="J39" s="6"/>
      <c r="K39" s="6"/>
      <c r="L39" s="6"/>
      <c r="M39" s="6"/>
    </row>
    <row r="40" spans="1:13" ht="21" x14ac:dyDescent="0.3">
      <c r="A40" s="23">
        <v>6</v>
      </c>
      <c r="B40" s="12" t="s">
        <v>56</v>
      </c>
      <c r="C40" s="13" t="s">
        <v>243</v>
      </c>
      <c r="D40" s="12"/>
      <c r="E40" s="35"/>
      <c r="F40" s="35"/>
      <c r="G40" s="56"/>
      <c r="H40" s="33"/>
      <c r="I40" s="45" cm="1">
        <f t="array" ref="I40">_xlfn.IFS(Table13[[#This Row],[Niveau de conformité]]="Partiellement appliqué", 1, Table13[[#This Row],[Niveau de conformité]]="Largement appliqué", 2, Table13[[#This Row],[Niveau de conformité]]="Totalement appliqué", 3, TRUE, 0)/1</f>
        <v>0</v>
      </c>
      <c r="J40" s="6"/>
      <c r="K40" s="6"/>
      <c r="L40" s="6"/>
      <c r="M40" s="6"/>
    </row>
    <row r="41" spans="1:13" ht="21" x14ac:dyDescent="0.3">
      <c r="A41" s="23">
        <v>6</v>
      </c>
      <c r="B41" s="12" t="s">
        <v>57</v>
      </c>
      <c r="C41" s="13" t="s">
        <v>244</v>
      </c>
      <c r="D41" s="12"/>
      <c r="E41" s="35"/>
      <c r="F41" s="35"/>
      <c r="G41" s="56"/>
      <c r="H41" s="33"/>
      <c r="I41" s="45" cm="1">
        <f t="array" ref="I41">_xlfn.IFS(Table13[[#This Row],[Niveau de conformité]]="Partiellement appliqué", 1, Table13[[#This Row],[Niveau de conformité]]="Largement appliqué", 2, Table13[[#This Row],[Niveau de conformité]]="Totalement appliqué", 3, TRUE, 0)/1</f>
        <v>0</v>
      </c>
      <c r="J41" s="6"/>
      <c r="K41" s="6"/>
      <c r="L41" s="6"/>
      <c r="M41" s="6"/>
    </row>
    <row r="42" spans="1:13" ht="21" x14ac:dyDescent="0.3">
      <c r="A42" s="23">
        <v>6</v>
      </c>
      <c r="B42" s="12" t="s">
        <v>58</v>
      </c>
      <c r="C42" s="13" t="s">
        <v>245</v>
      </c>
      <c r="D42" s="12"/>
      <c r="E42" s="35"/>
      <c r="F42" s="35"/>
      <c r="G42" s="56"/>
      <c r="H42" s="33"/>
      <c r="I42" s="45" cm="1">
        <f t="array" ref="I42">_xlfn.IFS(Table13[[#This Row],[Niveau de conformité]]="Partiellement appliqué", 1, Table13[[#This Row],[Niveau de conformité]]="Largement appliqué", 2, Table13[[#This Row],[Niveau de conformité]]="Totalement appliqué", 3, TRUE, 0)/1</f>
        <v>0</v>
      </c>
      <c r="J42" s="6"/>
      <c r="K42" s="6"/>
      <c r="L42" s="6"/>
      <c r="M42" s="6"/>
    </row>
    <row r="43" spans="1:13" ht="69" customHeight="1" x14ac:dyDescent="0.3">
      <c r="A43" s="23">
        <v>6</v>
      </c>
      <c r="B43" s="12" t="s">
        <v>48</v>
      </c>
      <c r="C43" s="13" t="s">
        <v>246</v>
      </c>
      <c r="D43" s="12"/>
      <c r="E43" s="35"/>
      <c r="F43" s="35"/>
      <c r="G43" s="56"/>
      <c r="H43" s="33"/>
      <c r="I43" s="45" cm="1">
        <f t="array" ref="I43">_xlfn.IFS(Table13[[#This Row],[Niveau de conformité]]="Partiellement appliqué", 1, Table13[[#This Row],[Niveau de conformité]]="Largement appliqué", 2, Table13[[#This Row],[Niveau de conformité]]="Totalement appliqué", 3, TRUE, 0)/1</f>
        <v>0</v>
      </c>
      <c r="J43" s="16"/>
      <c r="K43" s="16"/>
      <c r="L43" s="16"/>
      <c r="M43" s="16"/>
    </row>
    <row r="44" spans="1:13" ht="21" x14ac:dyDescent="0.3">
      <c r="A44" s="23">
        <v>6</v>
      </c>
      <c r="B44" s="12" t="s">
        <v>59</v>
      </c>
      <c r="C44" s="13" t="s">
        <v>60</v>
      </c>
      <c r="D44" s="12"/>
      <c r="E44" s="35"/>
      <c r="F44" s="35"/>
      <c r="G44" s="56"/>
      <c r="H44" s="33"/>
      <c r="I44" s="45" cm="1">
        <f t="array" ref="I44">_xlfn.IFS(Table13[[#This Row],[Niveau de conformité]]="Partiellement appliqué", 1, Table13[[#This Row],[Niveau de conformité]]="Largement appliqué", 2, Table13[[#This Row],[Niveau de conformité]]="Totalement appliqué", 3, TRUE, 0)/1</f>
        <v>0</v>
      </c>
      <c r="J44" s="6"/>
      <c r="K44" s="6"/>
      <c r="L44" s="6"/>
      <c r="M44" s="6"/>
    </row>
    <row r="45" spans="1:13" ht="16.2" customHeight="1" x14ac:dyDescent="0.3">
      <c r="A45" s="23">
        <v>6</v>
      </c>
      <c r="B45" s="12" t="s">
        <v>61</v>
      </c>
      <c r="C45" s="13" t="s">
        <v>182</v>
      </c>
      <c r="D45" s="12"/>
      <c r="E45" s="35"/>
      <c r="F45" s="35"/>
      <c r="G45" s="56"/>
      <c r="H45" s="33"/>
      <c r="I45" s="45" cm="1">
        <f t="array" ref="I45">_xlfn.IFS(Table13[[#This Row],[Niveau de conformité]]="Partiellement appliqué", 1, Table13[[#This Row],[Niveau de conformité]]="Largement appliqué", 2, Table13[[#This Row],[Niveau de conformité]]="Totalement appliqué", 3, TRUE, 0)/1</f>
        <v>0</v>
      </c>
      <c r="J45" s="16"/>
      <c r="K45" s="16"/>
      <c r="L45" s="16"/>
      <c r="M45" s="16"/>
    </row>
    <row r="46" spans="1:13" ht="16.2" customHeight="1" x14ac:dyDescent="0.3">
      <c r="A46" s="23">
        <v>6</v>
      </c>
      <c r="B46" s="12" t="s">
        <v>62</v>
      </c>
      <c r="C46" s="13" t="s">
        <v>63</v>
      </c>
      <c r="D46" s="12"/>
      <c r="E46" s="35"/>
      <c r="F46" s="35"/>
      <c r="G46" s="56"/>
      <c r="H46" s="33"/>
      <c r="I46" s="45" cm="1">
        <f t="array" ref="I46">_xlfn.IFS(Table13[[#This Row],[Niveau de conformité]]="Partiellement appliqué", 1, Table13[[#This Row],[Niveau de conformité]]="Largement appliqué", 2, Table13[[#This Row],[Niveau de conformité]]="Totalement appliqué", 3, TRUE, 0)/1</f>
        <v>0</v>
      </c>
      <c r="J46" s="16"/>
      <c r="K46" s="16"/>
      <c r="L46" s="16"/>
      <c r="M46" s="16"/>
    </row>
    <row r="47" spans="1:13" ht="21" x14ac:dyDescent="0.3">
      <c r="A47" s="23">
        <v>7</v>
      </c>
      <c r="B47" s="12"/>
      <c r="C47" s="27" t="s">
        <v>66</v>
      </c>
      <c r="D47" s="27"/>
      <c r="E47" s="35"/>
      <c r="F47" s="35"/>
      <c r="G47" s="56"/>
      <c r="H47" s="33"/>
      <c r="I47" s="34"/>
      <c r="J47" s="106"/>
      <c r="K47" s="106"/>
      <c r="L47" s="106"/>
      <c r="M47" s="106"/>
    </row>
    <row r="48" spans="1:13" ht="16.2" customHeight="1" x14ac:dyDescent="0.3">
      <c r="A48" s="23">
        <v>7</v>
      </c>
      <c r="B48" s="12"/>
      <c r="C48" s="28" t="s">
        <v>90</v>
      </c>
      <c r="D48" s="28"/>
      <c r="E48" s="35"/>
      <c r="F48" s="35"/>
      <c r="G48" s="56"/>
      <c r="H48" s="33"/>
      <c r="I48" s="39">
        <f>AVERAGE(I49)/3</f>
        <v>0</v>
      </c>
      <c r="J48" s="16"/>
      <c r="K48" s="16"/>
      <c r="L48" s="16"/>
      <c r="M48" s="16"/>
    </row>
    <row r="49" spans="1:13" ht="28.8" x14ac:dyDescent="0.3">
      <c r="A49" s="23">
        <v>7</v>
      </c>
      <c r="B49" s="12" t="s">
        <v>67</v>
      </c>
      <c r="C49" s="13" t="s">
        <v>68</v>
      </c>
      <c r="D49" s="12" t="s">
        <v>247</v>
      </c>
      <c r="E49" s="35"/>
      <c r="F49" s="35"/>
      <c r="G49" s="56"/>
      <c r="H49" s="33"/>
      <c r="I49" s="45" cm="1">
        <f t="array" ref="I49">_xlfn.IFS(Table13[[#This Row],[Niveau de conformité]]="Partiellement appliqué", 1, Table13[[#This Row],[Niveau de conformité]]="Largement appliqué", 2, Table13[[#This Row],[Niveau de conformité]]="Totalement appliqué", 3, TRUE, 0)/1</f>
        <v>0</v>
      </c>
      <c r="J49" s="6"/>
      <c r="K49" s="6"/>
      <c r="L49" s="6"/>
      <c r="M49" s="6"/>
    </row>
    <row r="50" spans="1:13" ht="21" x14ac:dyDescent="0.3">
      <c r="A50" s="23">
        <v>7</v>
      </c>
      <c r="B50" s="12"/>
      <c r="C50" s="28" t="s">
        <v>91</v>
      </c>
      <c r="D50" s="28"/>
      <c r="E50" s="35"/>
      <c r="F50" s="35"/>
      <c r="G50" s="56"/>
      <c r="H50" s="33"/>
      <c r="I50" s="39">
        <f>AVERAGE(I51:I52)/3</f>
        <v>0</v>
      </c>
      <c r="J50" s="6"/>
      <c r="K50" s="6"/>
      <c r="L50" s="6"/>
      <c r="M50" s="6"/>
    </row>
    <row r="51" spans="1:13" ht="16.2" customHeight="1" x14ac:dyDescent="0.3">
      <c r="A51" s="23">
        <v>7</v>
      </c>
      <c r="B51" s="12" t="s">
        <v>69</v>
      </c>
      <c r="C51" s="13" t="s">
        <v>176</v>
      </c>
      <c r="D51" s="12" t="s">
        <v>205</v>
      </c>
      <c r="E51" s="35"/>
      <c r="F51" s="35"/>
      <c r="G51" s="56"/>
      <c r="H51" s="33"/>
      <c r="I51" s="45" cm="1">
        <f t="array" ref="I51">_xlfn.IFS(Table13[[#This Row],[Niveau de conformité]]="Partiellement appliqué", 1, Table13[[#This Row],[Niveau de conformité]]="Largement appliqué", 2, Table13[[#This Row],[Niveau de conformité]]="Totalement appliqué", 3, TRUE, 0)/1</f>
        <v>0</v>
      </c>
      <c r="J51" s="16"/>
      <c r="K51" s="16"/>
      <c r="L51" s="16"/>
      <c r="M51" s="16"/>
    </row>
    <row r="52" spans="1:13" ht="172.8" x14ac:dyDescent="0.3">
      <c r="A52" s="23">
        <v>7</v>
      </c>
      <c r="B52" s="12" t="s">
        <v>70</v>
      </c>
      <c r="C52" s="13" t="s">
        <v>177</v>
      </c>
      <c r="D52" s="12"/>
      <c r="E52" s="35"/>
      <c r="F52" s="35"/>
      <c r="G52" s="56"/>
      <c r="H52" s="33"/>
      <c r="I52" s="45" cm="1">
        <f t="array" ref="I52">_xlfn.IFS(Table13[[#This Row],[Niveau de conformité]]="Partiellement appliqué", 1, Table13[[#This Row],[Niveau de conformité]]="Largement appliqué", 2, Table13[[#This Row],[Niveau de conformité]]="Totalement appliqué", 3, TRUE, 0)/1</f>
        <v>0</v>
      </c>
      <c r="J52" s="6"/>
      <c r="K52" s="6"/>
      <c r="L52" s="6"/>
      <c r="M52" s="6"/>
    </row>
  </sheetData>
  <mergeCells count="8">
    <mergeCell ref="A1:XFD1"/>
    <mergeCell ref="J47:K47"/>
    <mergeCell ref="L47:M47"/>
    <mergeCell ref="B3:C6"/>
    <mergeCell ref="E6:F6"/>
    <mergeCell ref="G6:H6"/>
    <mergeCell ref="J16:K16"/>
    <mergeCell ref="L16:M16"/>
  </mergeCells>
  <dataValidations count="1">
    <dataValidation type="list" allowBlank="1" showInputMessage="1" showErrorMessage="1" sqref="E10:E52" xr:uid="{33887B0B-6270-443B-91FF-7BCF3A2318B7}">
      <formula1>Application</formula1>
    </dataValidation>
  </dataValidations>
  <pageMargins left="0.25" right="0.25" top="0.75" bottom="0.75" header="0.3" footer="0.3"/>
  <pageSetup paperSize="9" scale="23"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2" operator="lessThanOrEqual" id="{AACE69F5-9FDF-4D97-95C2-F50673B45F4D}">
            <xm:f>'Page de garde'!$L$25</xm:f>
            <x14:dxf>
              <font>
                <b/>
                <i val="0"/>
                <color theme="0"/>
              </font>
              <fill>
                <patternFill>
                  <bgColor rgb="FFFF0000"/>
                </patternFill>
              </fill>
            </x14:dxf>
          </x14:cfRule>
          <x14:cfRule type="cellIs" priority="23" operator="between" id="{875B421F-5112-4753-92DA-C8CF28DA65FE}">
            <xm:f>'Page de garde'!$L$25</xm:f>
            <xm:f>'Page de garde'!$L$24</xm:f>
            <x14:dxf>
              <font>
                <b/>
                <i val="0"/>
              </font>
              <fill>
                <patternFill>
                  <bgColor rgb="FFFFC000"/>
                </patternFill>
              </fill>
            </x14:dxf>
          </x14:cfRule>
          <x14:cfRule type="cellIs" priority="24" operator="greaterThanOrEqual" id="{FCF363DF-521B-4A03-8C3A-24DA5AB06F47}">
            <xm:f>'Page de garde'!$L$24</xm:f>
            <x14:dxf>
              <font>
                <b/>
                <i val="0"/>
                <color theme="0"/>
              </font>
              <fill>
                <patternFill>
                  <bgColor rgb="FF00B050"/>
                </patternFill>
              </fill>
            </x14:dxf>
          </x14:cfRule>
          <xm:sqref>I9</xm:sqref>
        </x14:conditionalFormatting>
        <x14:conditionalFormatting xmlns:xm="http://schemas.microsoft.com/office/excel/2006/main">
          <x14:cfRule type="cellIs" priority="19" operator="lessThanOrEqual" id="{68AEBB49-D30B-4172-A095-E71C700885F2}">
            <xm:f>'Page de garde'!$L$25</xm:f>
            <x14:dxf>
              <font>
                <b/>
                <i val="0"/>
                <color theme="0"/>
              </font>
              <fill>
                <patternFill>
                  <bgColor rgb="FFFF0000"/>
                </patternFill>
              </fill>
            </x14:dxf>
          </x14:cfRule>
          <x14:cfRule type="cellIs" priority="20" operator="between" id="{168231DD-29F7-4421-8AF8-5EEEF3DEAEE4}">
            <xm:f>'Page de garde'!$L$25</xm:f>
            <xm:f>'Page de garde'!$L$24</xm:f>
            <x14:dxf>
              <font>
                <b/>
                <i val="0"/>
              </font>
              <fill>
                <patternFill>
                  <bgColor rgb="FFFFC000"/>
                </patternFill>
              </fill>
            </x14:dxf>
          </x14:cfRule>
          <x14:cfRule type="cellIs" priority="21" operator="greaterThanOrEqual" id="{416B1FA8-C937-432F-B763-CAD7B806C739}">
            <xm:f>'Page de garde'!$L$24</xm:f>
            <x14:dxf>
              <font>
                <b/>
                <i val="0"/>
                <color theme="0"/>
              </font>
              <fill>
                <patternFill>
                  <bgColor rgb="FF00B050"/>
                </patternFill>
              </fill>
            </x14:dxf>
          </x14:cfRule>
          <xm:sqref>I17</xm:sqref>
        </x14:conditionalFormatting>
        <x14:conditionalFormatting xmlns:xm="http://schemas.microsoft.com/office/excel/2006/main">
          <x14:cfRule type="cellIs" priority="16" operator="lessThanOrEqual" id="{B43A0845-6D59-4BD7-9014-B0369632B005}">
            <xm:f>'Page de garde'!$L$25</xm:f>
            <x14:dxf>
              <font>
                <b/>
                <i val="0"/>
                <color theme="0"/>
              </font>
              <fill>
                <patternFill>
                  <bgColor rgb="FFFF0000"/>
                </patternFill>
              </fill>
            </x14:dxf>
          </x14:cfRule>
          <x14:cfRule type="cellIs" priority="17" operator="between" id="{C8ADC6D4-9C3F-45FE-84FB-7A7305A9B079}">
            <xm:f>'Page de garde'!$L$25</xm:f>
            <xm:f>'Page de garde'!$L$24</xm:f>
            <x14:dxf>
              <font>
                <b/>
                <i val="0"/>
              </font>
              <fill>
                <patternFill>
                  <bgColor rgb="FFFFC000"/>
                </patternFill>
              </fill>
            </x14:dxf>
          </x14:cfRule>
          <x14:cfRule type="cellIs" priority="18" operator="greaterThanOrEqual" id="{BF67FF7C-FB66-4571-872E-4711D2959492}">
            <xm:f>'Page de garde'!$L$24</xm:f>
            <x14:dxf>
              <font>
                <b/>
                <i val="0"/>
                <color theme="0"/>
              </font>
              <fill>
                <patternFill>
                  <bgColor rgb="FF00B050"/>
                </patternFill>
              </fill>
            </x14:dxf>
          </x14:cfRule>
          <xm:sqref>I28</xm:sqref>
        </x14:conditionalFormatting>
        <x14:conditionalFormatting xmlns:xm="http://schemas.microsoft.com/office/excel/2006/main">
          <x14:cfRule type="cellIs" priority="13" operator="lessThanOrEqual" id="{2E348D98-2605-46AD-8C31-0814FA8BA91C}">
            <xm:f>'Page de garde'!$L$25</xm:f>
            <x14:dxf>
              <font>
                <b/>
                <i val="0"/>
                <color theme="0"/>
              </font>
              <fill>
                <patternFill>
                  <bgColor rgb="FFFF0000"/>
                </patternFill>
              </fill>
            </x14:dxf>
          </x14:cfRule>
          <x14:cfRule type="cellIs" priority="14" operator="between" id="{FD93AC5A-2EC8-49E4-AAD0-E2621152802C}">
            <xm:f>'Page de garde'!$L$25</xm:f>
            <xm:f>'Page de garde'!$L$24</xm:f>
            <x14:dxf>
              <font>
                <b/>
                <i val="0"/>
              </font>
              <fill>
                <patternFill>
                  <bgColor rgb="FFFFC000"/>
                </patternFill>
              </fill>
            </x14:dxf>
          </x14:cfRule>
          <x14:cfRule type="cellIs" priority="15" operator="greaterThanOrEqual" id="{B86EDD55-60F3-4586-855C-0465BABA11F3}">
            <xm:f>'Page de garde'!$L$24</xm:f>
            <x14:dxf>
              <font>
                <b/>
                <i val="0"/>
                <color theme="0"/>
              </font>
              <fill>
                <patternFill>
                  <bgColor rgb="FF00B050"/>
                </patternFill>
              </fill>
            </x14:dxf>
          </x14:cfRule>
          <xm:sqref>I34</xm:sqref>
        </x14:conditionalFormatting>
        <x14:conditionalFormatting xmlns:xm="http://schemas.microsoft.com/office/excel/2006/main">
          <x14:cfRule type="cellIs" priority="10" operator="lessThanOrEqual" id="{F825E6FB-C361-4A27-9D76-475F18B4533F}">
            <xm:f>'Page de garde'!$L$25</xm:f>
            <x14:dxf>
              <font>
                <b/>
                <i val="0"/>
                <color theme="0"/>
              </font>
              <fill>
                <patternFill>
                  <bgColor rgb="FFFF0000"/>
                </patternFill>
              </fill>
            </x14:dxf>
          </x14:cfRule>
          <x14:cfRule type="cellIs" priority="11" operator="between" id="{5E8A55DC-09F6-46A5-B42C-6C9004FA31C1}">
            <xm:f>'Page de garde'!$L$25</xm:f>
            <xm:f>'Page de garde'!$L$24</xm:f>
            <x14:dxf>
              <font>
                <b/>
                <i val="0"/>
              </font>
              <fill>
                <patternFill>
                  <bgColor rgb="FFFFC000"/>
                </patternFill>
              </fill>
            </x14:dxf>
          </x14:cfRule>
          <x14:cfRule type="cellIs" priority="12" operator="greaterThanOrEqual" id="{832D3D14-3CE3-45E0-8AF9-F8455DAD2DA2}">
            <xm:f>'Page de garde'!$L$24</xm:f>
            <x14:dxf>
              <font>
                <b/>
                <i val="0"/>
                <color theme="0"/>
              </font>
              <fill>
                <patternFill>
                  <bgColor rgb="FF00B050"/>
                </patternFill>
              </fill>
            </x14:dxf>
          </x14:cfRule>
          <xm:sqref>I48</xm:sqref>
        </x14:conditionalFormatting>
        <x14:conditionalFormatting xmlns:xm="http://schemas.microsoft.com/office/excel/2006/main">
          <x14:cfRule type="cellIs" priority="7" operator="lessThanOrEqual" id="{4B6B22CC-BCD7-4EFA-96A1-E81836562716}">
            <xm:f>'Page de garde'!$L$25</xm:f>
            <x14:dxf>
              <font>
                <b/>
                <i val="0"/>
                <color theme="0"/>
              </font>
              <fill>
                <patternFill>
                  <bgColor rgb="FFFF0000"/>
                </patternFill>
              </fill>
            </x14:dxf>
          </x14:cfRule>
          <x14:cfRule type="cellIs" priority="8" operator="between" id="{00178585-6EB1-4A49-9EA7-6C8022E88E21}">
            <xm:f>'Page de garde'!$L$25</xm:f>
            <xm:f>'Page de garde'!$L$24</xm:f>
            <x14:dxf>
              <font>
                <b/>
                <i val="0"/>
              </font>
              <fill>
                <patternFill>
                  <bgColor rgb="FFFFC000"/>
                </patternFill>
              </fill>
            </x14:dxf>
          </x14:cfRule>
          <x14:cfRule type="cellIs" priority="9" operator="greaterThanOrEqual" id="{837ED040-F9C3-406A-9841-C91B897FB7C0}">
            <xm:f>'Page de garde'!$L$24</xm:f>
            <x14:dxf>
              <font>
                <b/>
                <i val="0"/>
                <color theme="0"/>
              </font>
              <fill>
                <patternFill>
                  <bgColor rgb="FF00B050"/>
                </patternFill>
              </fill>
            </x14:dxf>
          </x14:cfRule>
          <xm:sqref>I50</xm:sqref>
        </x14:conditionalFormatting>
        <x14:conditionalFormatting xmlns:xm="http://schemas.microsoft.com/office/excel/2006/main">
          <x14:cfRule type="cellIs" priority="4" operator="lessThanOrEqual" id="{8FE94240-FFA9-4E5C-BEEB-741BF5D5914F}">
            <xm:f>'Page de garde'!$L$25</xm:f>
            <x14:dxf>
              <font>
                <b/>
                <i val="0"/>
                <color theme="0"/>
              </font>
              <fill>
                <patternFill>
                  <bgColor rgb="FFFF0000"/>
                </patternFill>
              </fill>
            </x14:dxf>
          </x14:cfRule>
          <x14:cfRule type="cellIs" priority="5" operator="between" id="{07C9D8DD-7265-48BE-AFBF-DB5D35CC01B6}">
            <xm:f>'Page de garde'!$L$25</xm:f>
            <xm:f>'Page de garde'!$L$24</xm:f>
            <x14:dxf>
              <font>
                <b/>
                <i val="0"/>
              </font>
              <fill>
                <patternFill>
                  <bgColor rgb="FFFFC000"/>
                </patternFill>
              </fill>
            </x14:dxf>
          </x14:cfRule>
          <x14:cfRule type="cellIs" priority="6" operator="greaterThanOrEqual" id="{B0C77396-01FF-4654-9DE6-156E2B7465ED}">
            <xm:f>'Page de garde'!$L$24</xm:f>
            <x14:dxf>
              <font>
                <b/>
                <i val="0"/>
                <color theme="0"/>
              </font>
              <fill>
                <patternFill>
                  <bgColor rgb="FF00B050"/>
                </patternFill>
              </fill>
            </x14:dxf>
          </x14:cfRule>
          <xm:sqref>I14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fitToPage="1"/>
  </sheetPr>
  <dimension ref="A1:O114"/>
  <sheetViews>
    <sheetView topLeftCell="A4" zoomScale="52" zoomScaleNormal="40" workbookViewId="0">
      <selection activeCell="H15" sqref="H15"/>
    </sheetView>
  </sheetViews>
  <sheetFormatPr defaultRowHeight="14.4" x14ac:dyDescent="0.3"/>
  <cols>
    <col min="1" max="1" width="3.6640625" style="99" customWidth="1"/>
    <col min="2" max="2" width="6.109375" customWidth="1"/>
    <col min="3" max="3" width="115.44140625" customWidth="1"/>
    <col min="4" max="4" width="31" customWidth="1"/>
    <col min="5" max="5" width="24" customWidth="1"/>
    <col min="6" max="6" width="36.77734375" customWidth="1"/>
    <col min="7" max="7" width="29.44140625" style="1" customWidth="1"/>
    <col min="8" max="8" width="50" customWidth="1"/>
    <col min="9" max="9" width="18.77734375" customWidth="1"/>
  </cols>
  <sheetData>
    <row r="1" spans="1:15" s="103" customFormat="1" ht="66" customHeight="1" x14ac:dyDescent="0.3"/>
    <row r="3" spans="1:15" ht="14.4" customHeight="1" x14ac:dyDescent="0.3">
      <c r="B3" s="110" t="s">
        <v>251</v>
      </c>
      <c r="C3" s="110"/>
      <c r="D3" s="2"/>
      <c r="E3" s="2"/>
      <c r="F3" s="2"/>
    </row>
    <row r="4" spans="1:15" ht="31.2" customHeight="1" x14ac:dyDescent="0.3">
      <c r="B4" s="110"/>
      <c r="C4" s="110"/>
      <c r="D4" s="2"/>
      <c r="E4" s="2"/>
      <c r="F4" s="2"/>
    </row>
    <row r="5" spans="1:15" s="4" customFormat="1" ht="16.2" customHeight="1" x14ac:dyDescent="0.3">
      <c r="A5" s="31"/>
      <c r="B5" s="110"/>
      <c r="C5" s="110"/>
      <c r="D5" s="5"/>
      <c r="E5" s="5"/>
      <c r="F5" s="5"/>
      <c r="G5" s="5"/>
      <c r="H5" s="5"/>
      <c r="I5" s="5"/>
    </row>
    <row r="6" spans="1:15" ht="16.2" customHeight="1" x14ac:dyDescent="0.3">
      <c r="B6" s="110"/>
      <c r="C6" s="110"/>
      <c r="D6" s="106"/>
      <c r="E6" s="106"/>
      <c r="F6" s="106"/>
      <c r="G6" s="106"/>
      <c r="H6" s="106"/>
      <c r="I6" s="106"/>
    </row>
    <row r="7" spans="1:15" s="4" customFormat="1" ht="16.2" customHeight="1" x14ac:dyDescent="0.3">
      <c r="A7" s="91" t="s">
        <v>169</v>
      </c>
      <c r="B7" s="92" t="s">
        <v>78</v>
      </c>
      <c r="C7" s="93" t="s">
        <v>77</v>
      </c>
      <c r="D7" s="93" t="s">
        <v>195</v>
      </c>
      <c r="E7" s="93" t="s">
        <v>159</v>
      </c>
      <c r="F7" s="94" t="s">
        <v>179</v>
      </c>
      <c r="G7" s="94" t="s">
        <v>231</v>
      </c>
      <c r="H7" s="94" t="s">
        <v>178</v>
      </c>
      <c r="I7" s="95" t="s">
        <v>211</v>
      </c>
      <c r="J7" s="26"/>
      <c r="K7" s="5"/>
      <c r="L7" s="5"/>
      <c r="M7" s="5"/>
      <c r="N7" s="5"/>
    </row>
    <row r="8" spans="1:15" s="4" customFormat="1" ht="16.2" customHeight="1" x14ac:dyDescent="0.3">
      <c r="A8" s="100">
        <v>4</v>
      </c>
      <c r="B8" s="81"/>
      <c r="C8" s="27" t="s">
        <v>1</v>
      </c>
      <c r="D8" s="27"/>
      <c r="E8" s="27"/>
      <c r="F8" s="27"/>
      <c r="G8" s="27"/>
      <c r="H8" s="27"/>
      <c r="I8" s="32"/>
      <c r="J8" s="8"/>
      <c r="K8" s="5"/>
      <c r="L8" s="5"/>
      <c r="M8" s="5"/>
      <c r="N8" s="5"/>
      <c r="O8" s="5"/>
    </row>
    <row r="9" spans="1:15" s="4" customFormat="1" ht="16.2" customHeight="1" x14ac:dyDescent="0.3">
      <c r="A9" s="100">
        <v>4</v>
      </c>
      <c r="B9" s="81"/>
      <c r="C9" s="28" t="s">
        <v>126</v>
      </c>
      <c r="D9" s="28"/>
      <c r="E9" s="28"/>
      <c r="F9" s="35"/>
      <c r="G9" s="35"/>
      <c r="H9" s="28"/>
      <c r="I9" s="39">
        <f>AVERAGE(I10:I12)/3</f>
        <v>0</v>
      </c>
      <c r="J9" s="5"/>
      <c r="K9" s="5"/>
      <c r="L9" s="5"/>
      <c r="M9" s="5"/>
      <c r="N9" s="5"/>
      <c r="O9" s="5"/>
    </row>
    <row r="10" spans="1:15" ht="31.2" customHeight="1" x14ac:dyDescent="0.3">
      <c r="A10" s="100">
        <v>4</v>
      </c>
      <c r="B10" s="81" t="s">
        <v>95</v>
      </c>
      <c r="C10" s="13" t="s">
        <v>193</v>
      </c>
      <c r="D10" s="90"/>
      <c r="E10" s="28"/>
      <c r="F10" s="35"/>
      <c r="G10" s="35"/>
      <c r="H10" s="32"/>
      <c r="I10" s="48" cm="1">
        <f t="array" ref="I10">_xlfn.IFS(Table1[[#This Row],[Niveau de conformité]]="Partiellement appliqué", 1, Table1[[#This Row],[Niveau de conformité]]="Largement appliqué", 2, Table1[[#This Row],[Niveau de conformité]]="Totalement appliqué", 3, TRUE, 0)/1</f>
        <v>0</v>
      </c>
      <c r="J10" s="6"/>
      <c r="K10" s="6"/>
      <c r="L10" s="6"/>
      <c r="M10" s="6"/>
      <c r="N10" s="6"/>
      <c r="O10" s="6"/>
    </row>
    <row r="11" spans="1:15" ht="19.2" customHeight="1" x14ac:dyDescent="0.3">
      <c r="A11" s="100">
        <v>4</v>
      </c>
      <c r="B11" s="81" t="s">
        <v>96</v>
      </c>
      <c r="C11" s="13" t="s">
        <v>194</v>
      </c>
      <c r="D11" s="90"/>
      <c r="E11" s="28"/>
      <c r="F11" s="35"/>
      <c r="G11" s="35"/>
      <c r="H11" s="32"/>
      <c r="I11" s="48" cm="1">
        <f t="array" ref="I11">_xlfn.IFS(Table1[[#This Row],[Niveau de conformité]]="Partiellement appliqué", 1, Table1[[#This Row],[Niveau de conformité]]="Largement appliqué", 2, Table1[[#This Row],[Niveau de conformité]]="Totalement appliqué", 3, TRUE, 0)/1</f>
        <v>0</v>
      </c>
      <c r="J11" s="6"/>
      <c r="K11" s="6"/>
      <c r="L11" s="6"/>
      <c r="M11" s="6"/>
      <c r="N11" s="6"/>
      <c r="O11" s="6"/>
    </row>
    <row r="12" spans="1:15" ht="19.2" customHeight="1" x14ac:dyDescent="0.3">
      <c r="A12" s="100">
        <v>4</v>
      </c>
      <c r="B12" s="81" t="s">
        <v>98</v>
      </c>
      <c r="C12" s="13" t="s">
        <v>97</v>
      </c>
      <c r="D12" s="90"/>
      <c r="E12" s="28"/>
      <c r="F12" s="35"/>
      <c r="G12" s="35"/>
      <c r="H12" s="32"/>
      <c r="I12" s="48" cm="1">
        <f t="array" ref="I12">_xlfn.IFS(Table1[[#This Row],[Niveau de conformité]]="Partiellement appliqué", 1, Table1[[#This Row],[Niveau de conformité]]="Largement appliqué", 2, Table1[[#This Row],[Niveau de conformité]]="Totalement appliqué", 3, TRUE, 0)/1</f>
        <v>0</v>
      </c>
      <c r="J12" s="6"/>
      <c r="K12" s="6"/>
      <c r="L12" s="6"/>
      <c r="M12" s="6"/>
      <c r="N12" s="6"/>
      <c r="O12" s="6"/>
    </row>
    <row r="13" spans="1:15" ht="52.8" customHeight="1" x14ac:dyDescent="0.3">
      <c r="A13" s="100">
        <v>6</v>
      </c>
      <c r="B13" s="81"/>
      <c r="C13" s="27" t="s">
        <v>5</v>
      </c>
      <c r="D13" s="27"/>
      <c r="E13" s="28"/>
      <c r="F13" s="35"/>
      <c r="G13" s="35"/>
      <c r="H13" s="27"/>
      <c r="I13" s="27"/>
      <c r="J13" s="6"/>
      <c r="K13" s="6"/>
      <c r="L13" s="6"/>
      <c r="M13" s="6"/>
      <c r="N13" s="6"/>
      <c r="O13" s="6"/>
    </row>
    <row r="14" spans="1:15" ht="18.600000000000001" customHeight="1" x14ac:dyDescent="0.3">
      <c r="A14" s="100">
        <v>6</v>
      </c>
      <c r="B14" s="81"/>
      <c r="C14" s="28" t="s">
        <v>140</v>
      </c>
      <c r="D14" s="28"/>
      <c r="E14" s="28"/>
      <c r="F14" s="35"/>
      <c r="G14" s="35"/>
      <c r="H14" s="27"/>
      <c r="I14" s="39">
        <f>AVERAGE(I15:I30)/3</f>
        <v>0</v>
      </c>
      <c r="J14" s="6"/>
      <c r="K14" s="6"/>
      <c r="L14" s="6"/>
      <c r="M14" s="6"/>
      <c r="N14" s="6"/>
      <c r="O14" s="6"/>
    </row>
    <row r="15" spans="1:15" ht="156" customHeight="1" x14ac:dyDescent="0.3">
      <c r="A15" s="100">
        <v>6</v>
      </c>
      <c r="B15" s="81" t="s">
        <v>142</v>
      </c>
      <c r="C15" s="13" t="s">
        <v>141</v>
      </c>
      <c r="D15" s="35" t="s">
        <v>196</v>
      </c>
      <c r="E15" s="28"/>
      <c r="F15" s="35"/>
      <c r="G15" s="35"/>
      <c r="H15" s="27"/>
      <c r="I15" s="48" cm="1">
        <f t="array" ref="I15">_xlfn.IFS(Table1[[#This Row],[Niveau de conformité]]="Partiellement appliqué", 1, Table1[[#This Row],[Niveau de conformité]]="Largement appliqué", 2, Table1[[#This Row],[Niveau de conformité]]="Totalement appliqué", 3, TRUE, 0)/1</f>
        <v>0</v>
      </c>
      <c r="J15" s="6"/>
      <c r="K15" s="6"/>
      <c r="L15" s="53"/>
      <c r="M15" s="6"/>
      <c r="N15" s="6"/>
      <c r="O15" s="6"/>
    </row>
    <row r="16" spans="1:15" ht="33" customHeight="1" x14ac:dyDescent="0.3">
      <c r="A16" s="100">
        <v>6</v>
      </c>
      <c r="B16" s="81" t="s">
        <v>15</v>
      </c>
      <c r="C16" s="13" t="s">
        <v>143</v>
      </c>
      <c r="D16" s="35"/>
      <c r="E16" s="28"/>
      <c r="F16" s="35"/>
      <c r="G16" s="35"/>
      <c r="H16" s="27"/>
      <c r="I16" s="48" cm="1">
        <f t="array" ref="I16">_xlfn.IFS(Table1[[#This Row],[Niveau de conformité]]="Partiellement appliqué", 1, Table1[[#This Row],[Niveau de conformité]]="Largement appliqué", 2, Table1[[#This Row],[Niveau de conformité]]="Totalement appliqué", 3, TRUE, 0)/1</f>
        <v>0</v>
      </c>
      <c r="J16" s="106"/>
      <c r="K16" s="106"/>
      <c r="L16" s="106"/>
      <c r="M16" s="106"/>
      <c r="N16" s="106"/>
      <c r="O16" s="106"/>
    </row>
    <row r="17" spans="1:15" ht="28.2" customHeight="1" x14ac:dyDescent="0.3">
      <c r="A17" s="100">
        <v>6</v>
      </c>
      <c r="B17" s="81" t="s">
        <v>14</v>
      </c>
      <c r="C17" s="13" t="s">
        <v>144</v>
      </c>
      <c r="D17" s="35" t="s">
        <v>206</v>
      </c>
      <c r="E17" s="28"/>
      <c r="F17" s="35"/>
      <c r="G17" s="35"/>
      <c r="H17" s="27"/>
      <c r="I17" s="48" cm="1">
        <f t="array" ref="I17">_xlfn.IFS(Table1[[#This Row],[Niveau de conformité]]="Partiellement appliqué", 1, Table1[[#This Row],[Niveau de conformité]]="Largement appliqué", 2, Table1[[#This Row],[Niveau de conformité]]="Totalement appliqué", 3, TRUE, 0)/1</f>
        <v>0</v>
      </c>
      <c r="J17" s="9"/>
      <c r="K17" s="3"/>
      <c r="L17" s="3"/>
      <c r="M17" s="3"/>
      <c r="N17" s="3"/>
      <c r="O17" s="3"/>
    </row>
    <row r="18" spans="1:15" ht="64.2" customHeight="1" x14ac:dyDescent="0.3">
      <c r="A18" s="100">
        <v>6</v>
      </c>
      <c r="B18" s="81" t="s">
        <v>16</v>
      </c>
      <c r="C18" s="13" t="s">
        <v>145</v>
      </c>
      <c r="D18" s="35"/>
      <c r="E18" s="28"/>
      <c r="F18" s="35"/>
      <c r="G18" s="35"/>
      <c r="H18" s="27"/>
      <c r="I18" s="48" cm="1">
        <f t="array" ref="I18">_xlfn.IFS(Table1[[#This Row],[Niveau de conformité]]="Partiellement appliqué", 1, Table1[[#This Row],[Niveau de conformité]]="Largement appliqué", 2, Table1[[#This Row],[Niveau de conformité]]="Totalement appliqué", 3, TRUE, 0)/1</f>
        <v>0</v>
      </c>
      <c r="J18" s="9"/>
      <c r="K18" s="7"/>
      <c r="L18" s="7"/>
      <c r="M18" s="7"/>
      <c r="N18" s="7"/>
      <c r="O18" s="7"/>
    </row>
    <row r="19" spans="1:15" ht="112.8" customHeight="1" x14ac:dyDescent="0.3">
      <c r="A19" s="100">
        <v>6</v>
      </c>
      <c r="B19" s="81" t="s">
        <v>110</v>
      </c>
      <c r="C19" s="13" t="s">
        <v>146</v>
      </c>
      <c r="D19" s="90"/>
      <c r="E19" s="28"/>
      <c r="F19" s="35"/>
      <c r="G19" s="35"/>
      <c r="H19" s="27"/>
      <c r="I19" s="48" cm="1">
        <f t="array" ref="I19">_xlfn.IFS(Table1[[#This Row],[Niveau de conformité]]="Partiellement appliqué", 1, Table1[[#This Row],[Niveau de conformité]]="Largement appliqué", 2, Table1[[#This Row],[Niveau de conformité]]="Totalement appliqué", 3, TRUE, 0)/1</f>
        <v>0</v>
      </c>
      <c r="J19" s="9"/>
      <c r="K19" s="9"/>
      <c r="L19" s="9"/>
      <c r="M19" s="9"/>
      <c r="N19" s="9"/>
      <c r="O19" s="9"/>
    </row>
    <row r="20" spans="1:15" ht="113.4" customHeight="1" x14ac:dyDescent="0.3">
      <c r="A20" s="100">
        <v>6</v>
      </c>
      <c r="B20" s="81" t="s">
        <v>34</v>
      </c>
      <c r="C20" s="13" t="s">
        <v>147</v>
      </c>
      <c r="D20" s="35"/>
      <c r="E20" s="28"/>
      <c r="F20" s="35"/>
      <c r="G20" s="35"/>
      <c r="H20" s="27"/>
      <c r="I20" s="48" cm="1">
        <f t="array" ref="I20">_xlfn.IFS(Table1[[#This Row],[Niveau de conformité]]="Partiellement appliqué", 1, Table1[[#This Row],[Niveau de conformité]]="Largement appliqué", 2, Table1[[#This Row],[Niveau de conformité]]="Totalement appliqué", 3, TRUE, 0)/1</f>
        <v>0</v>
      </c>
      <c r="J20" s="9"/>
      <c r="K20" s="9"/>
      <c r="L20" s="9"/>
      <c r="M20" s="9"/>
      <c r="N20" s="9"/>
      <c r="O20" s="9"/>
    </row>
    <row r="21" spans="1:15" ht="16.2" customHeight="1" x14ac:dyDescent="0.3">
      <c r="A21" s="100">
        <v>6</v>
      </c>
      <c r="B21" s="81" t="s">
        <v>18</v>
      </c>
      <c r="C21" s="13" t="s">
        <v>148</v>
      </c>
      <c r="D21" s="35" t="s">
        <v>138</v>
      </c>
      <c r="E21" s="28"/>
      <c r="F21" s="35"/>
      <c r="G21" s="35"/>
      <c r="H21" s="27"/>
      <c r="I21" s="48" cm="1">
        <f t="array" ref="I21">_xlfn.IFS(Table1[[#This Row],[Niveau de conformité]]="Partiellement appliqué", 1, Table1[[#This Row],[Niveau de conformité]]="Largement appliqué", 2, Table1[[#This Row],[Niveau de conformité]]="Totalement appliqué", 3, TRUE, 0)/1</f>
        <v>0</v>
      </c>
      <c r="J21" s="9"/>
      <c r="K21" s="9"/>
      <c r="L21" s="9"/>
      <c r="M21" s="9"/>
      <c r="N21" s="9"/>
      <c r="O21" s="9"/>
    </row>
    <row r="22" spans="1:15" ht="39.6" customHeight="1" x14ac:dyDescent="0.3">
      <c r="A22" s="100">
        <v>6</v>
      </c>
      <c r="B22" s="81" t="s">
        <v>111</v>
      </c>
      <c r="C22" s="13" t="s">
        <v>149</v>
      </c>
      <c r="D22" s="35" t="s">
        <v>138</v>
      </c>
      <c r="E22" s="28"/>
      <c r="F22" s="35"/>
      <c r="G22" s="35"/>
      <c r="H22" s="27"/>
      <c r="I22" s="48" cm="1">
        <f t="array" ref="I22">_xlfn.IFS(Table1[[#This Row],[Niveau de conformité]]="Partiellement appliqué", 1, Table1[[#This Row],[Niveau de conformité]]="Largement appliqué", 2, Table1[[#This Row],[Niveau de conformité]]="Totalement appliqué", 3, TRUE, 0)/1</f>
        <v>0</v>
      </c>
      <c r="J22" s="9"/>
      <c r="K22" s="9"/>
      <c r="L22" s="9"/>
      <c r="M22" s="9"/>
      <c r="N22" s="9"/>
      <c r="O22" s="9"/>
    </row>
    <row r="23" spans="1:15" ht="21" x14ac:dyDescent="0.3">
      <c r="A23" s="100">
        <v>6</v>
      </c>
      <c r="B23" s="81" t="s">
        <v>112</v>
      </c>
      <c r="C23" s="13" t="s">
        <v>113</v>
      </c>
      <c r="D23" s="35"/>
      <c r="E23" s="28"/>
      <c r="F23" s="35"/>
      <c r="G23" s="35"/>
      <c r="H23" s="27"/>
      <c r="I23" s="48" cm="1">
        <f t="array" ref="I23">_xlfn.IFS(Table1[[#This Row],[Niveau de conformité]]="Partiellement appliqué", 1, Table1[[#This Row],[Niveau de conformité]]="Largement appliqué", 2, Table1[[#This Row],[Niveau de conformité]]="Totalement appliqué", 3, TRUE, 0)/1</f>
        <v>0</v>
      </c>
      <c r="J23" s="6"/>
      <c r="K23" s="6"/>
      <c r="L23" s="6"/>
      <c r="M23" s="6"/>
      <c r="N23" s="6"/>
      <c r="O23" s="6"/>
    </row>
    <row r="24" spans="1:15" ht="16.2" customHeight="1" x14ac:dyDescent="0.3">
      <c r="A24" s="100">
        <v>6</v>
      </c>
      <c r="B24" s="81" t="s">
        <v>34</v>
      </c>
      <c r="C24" s="13" t="s">
        <v>150</v>
      </c>
      <c r="D24" s="35"/>
      <c r="E24" s="28"/>
      <c r="F24" s="35"/>
      <c r="G24" s="35"/>
      <c r="H24" s="27"/>
      <c r="I24" s="48" cm="1">
        <f t="array" ref="I24">_xlfn.IFS(Table1[[#This Row],[Niveau de conformité]]="Partiellement appliqué", 1, Table1[[#This Row],[Niveau de conformité]]="Largement appliqué", 2, Table1[[#This Row],[Niveau de conformité]]="Totalement appliqué", 3, TRUE, 0)/1</f>
        <v>0</v>
      </c>
      <c r="J24" s="9"/>
      <c r="K24" s="7"/>
      <c r="L24" s="7"/>
      <c r="M24" s="7"/>
      <c r="N24" s="7"/>
      <c r="O24" s="7"/>
    </row>
    <row r="25" spans="1:15" ht="24" customHeight="1" x14ac:dyDescent="0.3">
      <c r="A25" s="100">
        <v>6</v>
      </c>
      <c r="B25" s="81" t="s">
        <v>151</v>
      </c>
      <c r="C25" s="13" t="s">
        <v>152</v>
      </c>
      <c r="D25" s="35"/>
      <c r="E25" s="28"/>
      <c r="F25" s="35"/>
      <c r="G25" s="35"/>
      <c r="H25" s="27"/>
      <c r="I25" s="48" cm="1">
        <f t="array" ref="I25">_xlfn.IFS(Table1[[#This Row],[Niveau de conformité]]="Partiellement appliqué", 1, Table1[[#This Row],[Niveau de conformité]]="Largement appliqué", 2, Table1[[#This Row],[Niveau de conformité]]="Totalement appliqué", 3, TRUE, 0)/1</f>
        <v>0</v>
      </c>
      <c r="J25" s="6"/>
      <c r="K25" s="6"/>
      <c r="L25" s="6"/>
      <c r="M25" s="6"/>
      <c r="N25" s="6"/>
      <c r="O25" s="6"/>
    </row>
    <row r="26" spans="1:15" ht="34.799999999999997" customHeight="1" x14ac:dyDescent="0.3">
      <c r="A26" s="100">
        <v>6</v>
      </c>
      <c r="B26" s="81" t="s">
        <v>38</v>
      </c>
      <c r="C26" s="13" t="s">
        <v>153</v>
      </c>
      <c r="D26" s="35"/>
      <c r="E26" s="28"/>
      <c r="F26" s="35"/>
      <c r="G26" s="35"/>
      <c r="H26" s="27"/>
      <c r="I26" s="48" cm="1">
        <f t="array" ref="I26">_xlfn.IFS(Table1[[#This Row],[Niveau de conformité]]="Partiellement appliqué", 1, Table1[[#This Row],[Niveau de conformité]]="Largement appliqué", 2, Table1[[#This Row],[Niveau de conformité]]="Totalement appliqué", 3, TRUE, 0)/1</f>
        <v>0</v>
      </c>
      <c r="J26" s="6"/>
      <c r="K26" s="6"/>
      <c r="L26" s="6"/>
      <c r="M26" s="6"/>
      <c r="N26" s="6"/>
      <c r="O26" s="6"/>
    </row>
    <row r="27" spans="1:15" ht="21" x14ac:dyDescent="0.3">
      <c r="A27" s="100">
        <v>6</v>
      </c>
      <c r="B27" s="81" t="s">
        <v>38</v>
      </c>
      <c r="C27" s="13" t="s">
        <v>148</v>
      </c>
      <c r="D27" s="35"/>
      <c r="E27" s="28"/>
      <c r="F27" s="35"/>
      <c r="G27" s="35"/>
      <c r="H27" s="27"/>
      <c r="I27" s="48" cm="1">
        <f t="array" ref="I27">_xlfn.IFS(Table1[[#This Row],[Niveau de conformité]]="Partiellement appliqué", 1, Table1[[#This Row],[Niveau de conformité]]="Largement appliqué", 2, Table1[[#This Row],[Niveau de conformité]]="Totalement appliqué", 3, TRUE, 0)/1</f>
        <v>0</v>
      </c>
      <c r="J27" s="106"/>
      <c r="K27" s="106"/>
      <c r="L27" s="106"/>
      <c r="M27" s="106"/>
      <c r="N27" s="106"/>
      <c r="O27" s="106"/>
    </row>
    <row r="28" spans="1:15" s="11" customFormat="1" ht="28.8" x14ac:dyDescent="0.3">
      <c r="A28" s="100">
        <v>6</v>
      </c>
      <c r="B28" s="81" t="s">
        <v>154</v>
      </c>
      <c r="C28" s="13" t="s">
        <v>149</v>
      </c>
      <c r="D28" s="35"/>
      <c r="E28" s="28"/>
      <c r="F28" s="35"/>
      <c r="G28" s="35"/>
      <c r="H28" s="27"/>
      <c r="I28" s="48" cm="1">
        <f t="array" ref="I28">_xlfn.IFS(Table1[[#This Row],[Niveau de conformité]]="Partiellement appliqué", 1, Table1[[#This Row],[Niveau de conformité]]="Largement appliqué", 2, Table1[[#This Row],[Niveau de conformité]]="Totalement appliqué", 3, TRUE, 0)/1</f>
        <v>0</v>
      </c>
    </row>
    <row r="29" spans="1:15" ht="45" customHeight="1" x14ac:dyDescent="0.3">
      <c r="A29" s="100">
        <v>6</v>
      </c>
      <c r="B29" s="81" t="s">
        <v>155</v>
      </c>
      <c r="C29" s="13" t="s">
        <v>113</v>
      </c>
      <c r="D29" s="90"/>
      <c r="E29" s="28"/>
      <c r="F29" s="35"/>
      <c r="G29" s="35"/>
      <c r="H29" s="27"/>
      <c r="I29" s="48" cm="1">
        <f t="array" ref="I29">_xlfn.IFS(Table1[[#This Row],[Niveau de conformité]]="Partiellement appliqué", 1, Table1[[#This Row],[Niveau de conformité]]="Largement appliqué", 2, Table1[[#This Row],[Niveau de conformité]]="Totalement appliqué", 3, TRUE, 0)/1</f>
        <v>0</v>
      </c>
      <c r="J29" s="6"/>
      <c r="K29" s="6"/>
      <c r="L29" s="6"/>
      <c r="M29" s="6"/>
      <c r="N29" s="6"/>
      <c r="O29" s="6"/>
    </row>
    <row r="30" spans="1:15" ht="24" customHeight="1" x14ac:dyDescent="0.3">
      <c r="A30" s="100">
        <v>6</v>
      </c>
      <c r="B30" s="81" t="s">
        <v>40</v>
      </c>
      <c r="C30" s="13" t="s">
        <v>156</v>
      </c>
      <c r="D30" s="90"/>
      <c r="E30" s="28"/>
      <c r="F30" s="35"/>
      <c r="G30" s="35"/>
      <c r="H30" s="27"/>
      <c r="I30" s="48" cm="1">
        <f t="array" ref="I30">_xlfn.IFS(Table1[[#This Row],[Niveau de conformité]]="Partiellement appliqué", 1, Table1[[#This Row],[Niveau de conformité]]="Largement appliqué", 2, Table1[[#This Row],[Niveau de conformité]]="Totalement appliqué", 3, TRUE, 0)/1</f>
        <v>0</v>
      </c>
      <c r="J30" s="9"/>
      <c r="K30" s="7"/>
      <c r="L30" s="7"/>
      <c r="M30" s="7"/>
      <c r="N30" s="7"/>
      <c r="O30" s="7"/>
    </row>
    <row r="31" spans="1:15" ht="21" x14ac:dyDescent="0.3">
      <c r="A31" s="100">
        <v>8</v>
      </c>
      <c r="B31" s="81"/>
      <c r="C31" s="27" t="s">
        <v>130</v>
      </c>
      <c r="D31" s="27"/>
      <c r="E31" s="28"/>
      <c r="F31" s="35"/>
      <c r="G31" s="35"/>
      <c r="H31" s="27"/>
      <c r="I31" s="37"/>
      <c r="J31" s="6"/>
      <c r="K31" s="6"/>
      <c r="L31" s="6"/>
      <c r="M31" s="6"/>
      <c r="N31" s="6"/>
      <c r="O31" s="6"/>
    </row>
    <row r="32" spans="1:15" ht="34.799999999999997" customHeight="1" x14ac:dyDescent="0.3">
      <c r="A32" s="100">
        <v>8</v>
      </c>
      <c r="B32" s="81"/>
      <c r="C32" s="28" t="s">
        <v>127</v>
      </c>
      <c r="D32" s="28"/>
      <c r="E32" s="28"/>
      <c r="F32" s="35"/>
      <c r="G32" s="35"/>
      <c r="H32" s="27"/>
      <c r="I32" s="39">
        <f>AVERAGE(I33)/3</f>
        <v>0</v>
      </c>
      <c r="J32" s="6"/>
      <c r="K32" s="6"/>
      <c r="L32" s="6"/>
      <c r="M32" s="6"/>
      <c r="N32" s="6"/>
      <c r="O32" s="6"/>
    </row>
    <row r="33" spans="1:15" ht="43.2" x14ac:dyDescent="0.3">
      <c r="A33" s="100">
        <v>8</v>
      </c>
      <c r="B33" s="81" t="s">
        <v>71</v>
      </c>
      <c r="C33" s="13" t="s">
        <v>114</v>
      </c>
      <c r="D33" s="35"/>
      <c r="E33" s="28"/>
      <c r="F33" s="35"/>
      <c r="G33" s="35"/>
      <c r="H33" s="27"/>
      <c r="I33" s="47" cm="1">
        <f t="array" ref="I33">_xlfn.IFS(Table1[[#This Row],[Niveau de conformité]]="Partiellement appliqué", 1, Table1[[#This Row],[Niveau de conformité]]="Largement appliqué", 2, Table1[[#This Row],[Niveau de conformité]]="Totalement appliqué", 3, TRUE, 0)/1</f>
        <v>0</v>
      </c>
      <c r="J33" s="6"/>
      <c r="K33" s="6"/>
      <c r="L33" s="6"/>
      <c r="M33" s="6"/>
      <c r="N33" s="6"/>
      <c r="O33" s="6"/>
    </row>
    <row r="34" spans="1:15" ht="21" x14ac:dyDescent="0.3">
      <c r="A34" s="100">
        <v>9</v>
      </c>
      <c r="B34" s="81"/>
      <c r="C34" s="27" t="s">
        <v>128</v>
      </c>
      <c r="D34" s="27"/>
      <c r="E34" s="28"/>
      <c r="F34" s="35"/>
      <c r="G34" s="35"/>
      <c r="H34" s="27"/>
      <c r="I34" s="37"/>
      <c r="J34" s="6"/>
      <c r="K34" s="6"/>
      <c r="L34" s="6"/>
      <c r="M34" s="6"/>
      <c r="N34" s="6"/>
      <c r="O34" s="6"/>
    </row>
    <row r="35" spans="1:15" ht="21" x14ac:dyDescent="0.3">
      <c r="A35" s="100">
        <v>9</v>
      </c>
      <c r="B35" s="81"/>
      <c r="C35" s="28" t="s">
        <v>129</v>
      </c>
      <c r="D35" s="35"/>
      <c r="E35" s="28"/>
      <c r="F35" s="35"/>
      <c r="G35" s="35"/>
      <c r="H35" s="27"/>
      <c r="I35" s="39">
        <f>AVERAGE(I36:I38)/3</f>
        <v>0</v>
      </c>
      <c r="J35" s="6"/>
      <c r="K35" s="6"/>
      <c r="L35" s="6"/>
      <c r="M35" s="6"/>
      <c r="N35" s="6"/>
      <c r="O35" s="6"/>
    </row>
    <row r="36" spans="1:15" ht="21" x14ac:dyDescent="0.3">
      <c r="A36" s="100">
        <v>9</v>
      </c>
      <c r="B36" s="81" t="s">
        <v>118</v>
      </c>
      <c r="C36" s="13" t="s">
        <v>115</v>
      </c>
      <c r="D36" s="35" t="s">
        <v>233</v>
      </c>
      <c r="E36" s="28"/>
      <c r="F36" s="35"/>
      <c r="G36" s="35"/>
      <c r="H36" s="27"/>
      <c r="I36" s="47" cm="1">
        <f t="array" ref="I36">_xlfn.IFS(Table1[[#This Row],[Niveau de conformité]]="Partiellement appliqué", 1, Table1[[#This Row],[Niveau de conformité]]="Largement appliqué", 2, Table1[[#This Row],[Niveau de conformité]]="Totalement appliqué", 3, TRUE, 0)/1</f>
        <v>0</v>
      </c>
      <c r="J36" s="6"/>
      <c r="K36" s="6"/>
      <c r="L36" s="6"/>
      <c r="M36" s="6"/>
      <c r="N36" s="6"/>
      <c r="O36" s="6"/>
    </row>
    <row r="37" spans="1:15" ht="21" x14ac:dyDescent="0.3">
      <c r="A37" s="100">
        <v>9</v>
      </c>
      <c r="B37" s="81" t="s">
        <v>119</v>
      </c>
      <c r="C37" s="13" t="s">
        <v>116</v>
      </c>
      <c r="D37" s="35" t="s">
        <v>233</v>
      </c>
      <c r="E37" s="28"/>
      <c r="F37" s="35"/>
      <c r="G37" s="35"/>
      <c r="H37" s="27"/>
      <c r="I37" s="47" cm="1">
        <f t="array" ref="I37">_xlfn.IFS(Table1[[#This Row],[Niveau de conformité]]="Partiellement appliqué", 1, Table1[[#This Row],[Niveau de conformité]]="Largement appliqué", 2, Table1[[#This Row],[Niveau de conformité]]="Totalement appliqué", 3, TRUE, 0)/1</f>
        <v>0</v>
      </c>
      <c r="J37" s="6"/>
      <c r="K37" s="6"/>
      <c r="L37" s="6"/>
      <c r="M37" s="6"/>
      <c r="N37" s="6"/>
      <c r="O37" s="6"/>
    </row>
    <row r="38" spans="1:15" ht="21" x14ac:dyDescent="0.3">
      <c r="A38" s="100">
        <v>9</v>
      </c>
      <c r="B38" s="81" t="s">
        <v>120</v>
      </c>
      <c r="C38" s="13" t="s">
        <v>117</v>
      </c>
      <c r="D38" s="35" t="s">
        <v>233</v>
      </c>
      <c r="E38" s="28"/>
      <c r="F38" s="35"/>
      <c r="G38" s="35"/>
      <c r="H38" s="27"/>
      <c r="I38" s="47" cm="1">
        <f t="array" ref="I38">_xlfn.IFS(Table1[[#This Row],[Niveau de conformité]]="Partiellement appliqué", 1, Table1[[#This Row],[Niveau de conformité]]="Largement appliqué", 2, Table1[[#This Row],[Niveau de conformité]]="Totalement appliqué", 3, TRUE, 0)/1</f>
        <v>0</v>
      </c>
      <c r="J38" s="6"/>
      <c r="K38" s="6"/>
      <c r="L38" s="6"/>
      <c r="M38" s="6"/>
      <c r="N38" s="6"/>
      <c r="O38" s="6"/>
    </row>
    <row r="39" spans="1:15" ht="21" x14ac:dyDescent="0.3">
      <c r="A39" s="100">
        <v>9</v>
      </c>
      <c r="B39" s="81"/>
      <c r="C39" s="28" t="s">
        <v>94</v>
      </c>
      <c r="D39" s="35"/>
      <c r="E39" s="28"/>
      <c r="F39" s="35"/>
      <c r="G39" s="35"/>
      <c r="H39" s="27"/>
      <c r="I39" s="39">
        <f>AVERAGE(I40:I41)/3</f>
        <v>0</v>
      </c>
      <c r="J39" s="6"/>
      <c r="K39" s="6"/>
      <c r="L39" s="6"/>
      <c r="M39" s="6"/>
      <c r="N39" s="6"/>
      <c r="O39" s="6"/>
    </row>
    <row r="40" spans="1:15" ht="21" x14ac:dyDescent="0.3">
      <c r="A40" s="100">
        <v>9</v>
      </c>
      <c r="B40" s="81" t="s">
        <v>79</v>
      </c>
      <c r="C40" s="13" t="s">
        <v>122</v>
      </c>
      <c r="D40" s="35" t="s">
        <v>198</v>
      </c>
      <c r="E40" s="28"/>
      <c r="F40" s="35"/>
      <c r="G40" s="35"/>
      <c r="H40" s="27"/>
      <c r="I40" s="47" cm="1">
        <f t="array" ref="I40">_xlfn.IFS(Table1[[#This Row],[Niveau de conformité]]="Partiellement appliqué", 1, Table1[[#This Row],[Niveau de conformité]]="Largement appliqué", 2, Table1[[#This Row],[Niveau de conformité]]="Totalement appliqué", 3, TRUE, 0)/1</f>
        <v>0</v>
      </c>
      <c r="J40" s="6"/>
      <c r="K40" s="6"/>
      <c r="L40" s="6"/>
    </row>
    <row r="41" spans="1:15" ht="21" x14ac:dyDescent="0.3">
      <c r="A41" s="100">
        <v>9</v>
      </c>
      <c r="B41" s="81" t="s">
        <v>80</v>
      </c>
      <c r="C41" s="13" t="s">
        <v>121</v>
      </c>
      <c r="D41" s="35" t="s">
        <v>198</v>
      </c>
      <c r="E41" s="28"/>
      <c r="F41" s="35"/>
      <c r="G41" s="35"/>
      <c r="H41" s="27"/>
      <c r="I41" s="47" cm="1">
        <f t="array" ref="I41">_xlfn.IFS(Table1[[#This Row],[Niveau de conformité]]="Partiellement appliqué", 1, Table1[[#This Row],[Niveau de conformité]]="Largement appliqué", 2, Table1[[#This Row],[Niveau de conformité]]="Totalement appliqué", 3, TRUE, 0)/1</f>
        <v>0</v>
      </c>
      <c r="J41" s="6"/>
      <c r="K41" s="6"/>
      <c r="L41" s="6"/>
    </row>
    <row r="42" spans="1:15" ht="21" x14ac:dyDescent="0.3">
      <c r="A42" s="101">
        <v>10</v>
      </c>
      <c r="B42" s="81"/>
      <c r="C42" s="27" t="s">
        <v>82</v>
      </c>
      <c r="D42" s="35"/>
      <c r="E42" s="28"/>
      <c r="F42" s="35"/>
      <c r="G42" s="35"/>
      <c r="H42" s="27"/>
      <c r="I42" s="37"/>
      <c r="J42" s="6"/>
      <c r="K42" s="6"/>
      <c r="L42" s="6"/>
    </row>
    <row r="43" spans="1:15" ht="21" x14ac:dyDescent="0.3">
      <c r="A43" s="101">
        <v>10</v>
      </c>
      <c r="B43" s="81"/>
      <c r="C43" s="28" t="s">
        <v>131</v>
      </c>
      <c r="D43" s="35"/>
      <c r="E43" s="28"/>
      <c r="F43" s="35"/>
      <c r="G43" s="35"/>
      <c r="H43" s="27"/>
      <c r="I43" s="39">
        <f>AVERAGE(I44:I45)/3</f>
        <v>0</v>
      </c>
      <c r="J43" s="6"/>
      <c r="K43" s="6"/>
      <c r="L43" s="6"/>
    </row>
    <row r="44" spans="1:15" ht="21" x14ac:dyDescent="0.3">
      <c r="A44" s="101">
        <v>10</v>
      </c>
      <c r="B44" s="81" t="s">
        <v>124</v>
      </c>
      <c r="C44" s="13" t="s">
        <v>123</v>
      </c>
      <c r="D44" s="35" t="s">
        <v>196</v>
      </c>
      <c r="E44" s="28"/>
      <c r="F44" s="35"/>
      <c r="G44" s="35"/>
      <c r="H44" s="27"/>
      <c r="I44" s="47" cm="1">
        <f t="array" ref="I44">_xlfn.IFS(Table1[[#This Row],[Niveau de conformité]]="Partiellement appliqué", 1, Table1[[#This Row],[Niveau de conformité]]="Largement appliqué", 2, Table1[[#This Row],[Niveau de conformité]]="Totalement appliqué", 3, TRUE, 0)/1</f>
        <v>0</v>
      </c>
      <c r="J44" s="6"/>
      <c r="K44" s="6"/>
      <c r="L44" s="6"/>
    </row>
    <row r="45" spans="1:15" ht="21" x14ac:dyDescent="0.3">
      <c r="A45" s="101">
        <v>10</v>
      </c>
      <c r="B45" s="81" t="s">
        <v>125</v>
      </c>
      <c r="C45" s="29" t="s">
        <v>230</v>
      </c>
      <c r="D45" s="35" t="s">
        <v>196</v>
      </c>
      <c r="E45" s="28"/>
      <c r="F45" s="35"/>
      <c r="G45" s="35"/>
      <c r="H45" s="27"/>
      <c r="I45" s="47" cm="1">
        <f t="array" ref="I45">_xlfn.IFS(Table1[[#This Row],[Niveau de conformité]]="Partiellement appliqué", 1, Table1[[#This Row],[Niveau de conformité]]="Largement appliqué", 2, Table1[[#This Row],[Niveau de conformité]]="Totalement appliqué", 3, TRUE, 0)/1</f>
        <v>0</v>
      </c>
      <c r="J45" s="6"/>
      <c r="K45" s="6"/>
      <c r="L45" s="6"/>
    </row>
    <row r="46" spans="1:15" x14ac:dyDescent="0.3">
      <c r="B46" s="10"/>
      <c r="C46" s="6"/>
      <c r="D46" s="6"/>
      <c r="E46" s="6"/>
      <c r="F46" s="6"/>
      <c r="G46" s="58"/>
      <c r="H46" s="6"/>
      <c r="I46" s="6"/>
      <c r="J46" s="6"/>
      <c r="K46" s="6"/>
    </row>
    <row r="47" spans="1:15" x14ac:dyDescent="0.3">
      <c r="B47" s="10"/>
      <c r="C47" s="6"/>
      <c r="D47" s="6"/>
      <c r="E47" s="6"/>
      <c r="F47" s="6"/>
      <c r="G47" s="58"/>
      <c r="H47" s="6"/>
      <c r="I47" s="6"/>
    </row>
    <row r="48" spans="1:15" x14ac:dyDescent="0.3">
      <c r="B48" s="10"/>
      <c r="C48" s="6"/>
      <c r="D48" s="6"/>
      <c r="E48" s="6"/>
      <c r="F48" s="6"/>
      <c r="G48" s="58"/>
      <c r="H48" s="6"/>
      <c r="I48" s="6"/>
    </row>
    <row r="49" spans="2:9" x14ac:dyDescent="0.3">
      <c r="B49" s="10"/>
      <c r="C49" s="6"/>
      <c r="D49" s="6"/>
      <c r="E49" s="6"/>
      <c r="F49" s="6"/>
      <c r="G49" s="58"/>
      <c r="H49" s="6"/>
      <c r="I49" s="6"/>
    </row>
    <row r="50" spans="2:9" x14ac:dyDescent="0.3">
      <c r="B50" s="10"/>
      <c r="C50" s="6"/>
      <c r="D50" s="6"/>
      <c r="E50" s="6"/>
      <c r="F50" s="6" t="s">
        <v>228</v>
      </c>
      <c r="G50" s="58"/>
      <c r="H50" s="6"/>
      <c r="I50" s="6"/>
    </row>
    <row r="51" spans="2:9" x14ac:dyDescent="0.3">
      <c r="B51" s="10"/>
      <c r="C51" s="6"/>
      <c r="D51" s="6"/>
      <c r="E51" s="6"/>
      <c r="F51" s="6"/>
      <c r="G51" s="58"/>
      <c r="H51" s="6"/>
      <c r="I51" s="6"/>
    </row>
    <row r="52" spans="2:9" x14ac:dyDescent="0.3">
      <c r="B52" s="10"/>
      <c r="C52" s="6"/>
      <c r="D52" s="6"/>
      <c r="E52" s="6"/>
      <c r="F52" s="6"/>
      <c r="G52" s="58"/>
      <c r="H52" s="6"/>
      <c r="I52" s="6"/>
    </row>
    <row r="53" spans="2:9" x14ac:dyDescent="0.3">
      <c r="B53" s="10"/>
      <c r="C53" s="6"/>
      <c r="D53" s="6"/>
      <c r="E53" s="6"/>
      <c r="F53" s="6"/>
      <c r="G53" s="58"/>
      <c r="H53" s="6"/>
      <c r="I53" s="6"/>
    </row>
    <row r="54" spans="2:9" x14ac:dyDescent="0.3">
      <c r="B54" s="10"/>
      <c r="C54" s="6"/>
      <c r="D54" s="6"/>
      <c r="E54" s="6"/>
      <c r="F54" s="6"/>
      <c r="G54" s="58"/>
      <c r="H54" s="6"/>
      <c r="I54" s="6"/>
    </row>
    <row r="55" spans="2:9" ht="21" x14ac:dyDescent="0.3">
      <c r="B55" s="109"/>
      <c r="C55" s="109"/>
      <c r="D55" s="9"/>
      <c r="E55" s="7"/>
      <c r="F55" s="7"/>
      <c r="G55" s="52"/>
      <c r="H55" s="7"/>
      <c r="I55" s="6"/>
    </row>
    <row r="56" spans="2:9" ht="16.2" customHeight="1" x14ac:dyDescent="0.3">
      <c r="B56" s="10"/>
      <c r="C56" s="6"/>
      <c r="D56" s="6"/>
      <c r="E56" s="6"/>
      <c r="F56" s="6"/>
      <c r="G56" s="58"/>
      <c r="H56" s="6"/>
      <c r="I56" s="7"/>
    </row>
    <row r="57" spans="2:9" x14ac:dyDescent="0.3">
      <c r="B57" s="10"/>
      <c r="C57" s="6"/>
      <c r="D57" s="6"/>
      <c r="E57" s="6"/>
      <c r="F57" s="6"/>
      <c r="G57" s="58"/>
      <c r="H57" s="6"/>
      <c r="I57" s="6"/>
    </row>
    <row r="58" spans="2:9" x14ac:dyDescent="0.3">
      <c r="B58" s="10"/>
      <c r="C58" s="6"/>
      <c r="D58" s="6"/>
      <c r="E58" s="6"/>
      <c r="F58" s="6"/>
      <c r="G58" s="58"/>
      <c r="H58" s="6"/>
      <c r="I58" s="6"/>
    </row>
    <row r="59" spans="2:9" x14ac:dyDescent="0.3">
      <c r="B59" s="10"/>
      <c r="C59" s="6"/>
      <c r="D59" s="6"/>
      <c r="E59" s="6"/>
      <c r="F59" s="6"/>
      <c r="G59" s="58"/>
      <c r="H59" s="6"/>
      <c r="I59" s="6"/>
    </row>
    <row r="60" spans="2:9" x14ac:dyDescent="0.3">
      <c r="B60" s="10"/>
      <c r="C60" s="6"/>
      <c r="D60" s="6"/>
      <c r="E60" s="6"/>
      <c r="F60" s="6"/>
      <c r="G60" s="58"/>
      <c r="H60" s="6"/>
      <c r="I60" s="6"/>
    </row>
    <row r="61" spans="2:9" x14ac:dyDescent="0.3">
      <c r="B61" s="10"/>
      <c r="C61" s="6"/>
      <c r="D61" s="6"/>
      <c r="E61" s="6"/>
      <c r="F61" s="6"/>
      <c r="G61" s="58"/>
      <c r="H61" s="6"/>
      <c r="I61" s="6"/>
    </row>
    <row r="62" spans="2:9" x14ac:dyDescent="0.3">
      <c r="B62" s="10"/>
      <c r="C62" s="6"/>
      <c r="D62" s="6"/>
      <c r="E62" s="6"/>
      <c r="F62" s="6"/>
      <c r="G62" s="58"/>
      <c r="H62" s="6"/>
      <c r="I62" s="6"/>
    </row>
    <row r="63" spans="2:9" x14ac:dyDescent="0.3">
      <c r="B63" s="10"/>
      <c r="C63" s="6"/>
      <c r="D63" s="6"/>
      <c r="E63" s="6"/>
      <c r="F63" s="6"/>
      <c r="G63" s="58"/>
      <c r="H63" s="6"/>
      <c r="I63" s="6"/>
    </row>
    <row r="64" spans="2:9" ht="21" x14ac:dyDescent="0.3">
      <c r="B64" s="109"/>
      <c r="C64" s="109"/>
      <c r="D64" s="9"/>
      <c r="E64" s="7"/>
      <c r="F64" s="7"/>
      <c r="G64" s="52"/>
      <c r="H64" s="7"/>
      <c r="I64" s="6"/>
    </row>
    <row r="65" spans="2:9" ht="16.2" customHeight="1" x14ac:dyDescent="0.3">
      <c r="B65" s="10"/>
      <c r="C65" s="6"/>
      <c r="D65" s="6"/>
      <c r="E65" s="6"/>
      <c r="F65" s="6"/>
      <c r="G65" s="58"/>
      <c r="H65" s="6"/>
      <c r="I65" s="7"/>
    </row>
    <row r="66" spans="2:9" x14ac:dyDescent="0.3">
      <c r="B66" s="10"/>
      <c r="C66" s="6"/>
      <c r="D66" s="6"/>
      <c r="E66" s="6"/>
      <c r="F66" s="6"/>
      <c r="G66" s="58"/>
      <c r="H66" s="6"/>
      <c r="I66" s="6"/>
    </row>
    <row r="67" spans="2:9" x14ac:dyDescent="0.3">
      <c r="B67" s="10"/>
      <c r="C67" s="6"/>
      <c r="D67" s="6"/>
      <c r="E67" s="6"/>
      <c r="F67" s="6"/>
      <c r="G67" s="58"/>
      <c r="H67" s="6"/>
      <c r="I67" s="6"/>
    </row>
    <row r="68" spans="2:9" x14ac:dyDescent="0.3">
      <c r="B68" s="10"/>
      <c r="C68" s="6"/>
      <c r="D68" s="6"/>
      <c r="E68" s="6"/>
      <c r="F68" s="6"/>
      <c r="G68" s="58"/>
      <c r="H68" s="6"/>
      <c r="I68" s="6"/>
    </row>
    <row r="69" spans="2:9" x14ac:dyDescent="0.3">
      <c r="B69" s="10"/>
      <c r="C69" s="6"/>
      <c r="D69" s="6"/>
      <c r="E69" s="6"/>
      <c r="F69" s="6"/>
      <c r="G69" s="58"/>
      <c r="H69" s="6"/>
      <c r="I69" s="6"/>
    </row>
    <row r="70" spans="2:9" x14ac:dyDescent="0.3">
      <c r="B70" s="10"/>
      <c r="C70" s="6"/>
      <c r="D70" s="6"/>
      <c r="E70" s="6"/>
      <c r="F70" s="6"/>
      <c r="G70" s="58"/>
      <c r="H70" s="6"/>
      <c r="I70" s="6"/>
    </row>
    <row r="71" spans="2:9" x14ac:dyDescent="0.3">
      <c r="B71" s="10"/>
      <c r="C71" s="6"/>
      <c r="D71" s="6"/>
      <c r="E71" s="6"/>
      <c r="F71" s="6"/>
      <c r="G71" s="58"/>
      <c r="H71" s="6"/>
      <c r="I71" s="6"/>
    </row>
    <row r="72" spans="2:9" x14ac:dyDescent="0.3">
      <c r="B72" s="10"/>
      <c r="C72" s="6"/>
      <c r="D72" s="6"/>
      <c r="E72" s="6"/>
      <c r="F72" s="6"/>
      <c r="G72" s="58"/>
      <c r="H72" s="6"/>
      <c r="I72" s="6"/>
    </row>
    <row r="73" spans="2:9" x14ac:dyDescent="0.3">
      <c r="B73" s="10"/>
      <c r="C73" s="6"/>
      <c r="D73" s="6"/>
      <c r="E73" s="6"/>
      <c r="F73" s="6"/>
      <c r="G73" s="58"/>
      <c r="H73" s="6"/>
      <c r="I73" s="6"/>
    </row>
    <row r="74" spans="2:9" x14ac:dyDescent="0.3">
      <c r="B74" s="10"/>
      <c r="C74" s="6"/>
      <c r="D74" s="6"/>
      <c r="E74" s="6"/>
      <c r="F74" s="6"/>
      <c r="G74" s="58"/>
      <c r="H74" s="6"/>
      <c r="I74" s="6"/>
    </row>
    <row r="75" spans="2:9" x14ac:dyDescent="0.3">
      <c r="B75" s="10"/>
      <c r="C75" s="6"/>
      <c r="D75" s="6"/>
      <c r="E75" s="6"/>
      <c r="F75" s="6"/>
      <c r="G75" s="58"/>
      <c r="H75" s="6"/>
      <c r="I75" s="6"/>
    </row>
    <row r="76" spans="2:9" x14ac:dyDescent="0.3">
      <c r="B76" s="10"/>
      <c r="C76" s="6"/>
      <c r="D76" s="6"/>
      <c r="E76" s="6"/>
      <c r="F76" s="6"/>
      <c r="G76" s="58"/>
      <c r="H76" s="6"/>
      <c r="I76" s="6"/>
    </row>
    <row r="77" spans="2:9" x14ac:dyDescent="0.3">
      <c r="B77" s="10"/>
      <c r="C77" s="6"/>
      <c r="D77" s="6"/>
      <c r="E77" s="6"/>
      <c r="F77" s="6"/>
      <c r="G77" s="58"/>
      <c r="H77" s="6"/>
      <c r="I77" s="6"/>
    </row>
    <row r="78" spans="2:9" x14ac:dyDescent="0.3">
      <c r="B78" s="10"/>
      <c r="C78" s="6"/>
      <c r="D78" s="6"/>
      <c r="E78" s="6"/>
      <c r="F78" s="6"/>
      <c r="G78" s="58"/>
      <c r="H78" s="6"/>
      <c r="I78" s="6"/>
    </row>
    <row r="79" spans="2:9" ht="21" x14ac:dyDescent="0.3">
      <c r="B79" s="109"/>
      <c r="C79" s="109"/>
      <c r="D79" s="9"/>
      <c r="E79" s="7"/>
      <c r="F79" s="7"/>
      <c r="G79" s="52"/>
      <c r="H79" s="7"/>
      <c r="I79" s="6"/>
    </row>
    <row r="80" spans="2:9" ht="16.2" customHeight="1" x14ac:dyDescent="0.3">
      <c r="B80" s="10"/>
      <c r="C80" s="6"/>
      <c r="D80" s="6"/>
      <c r="E80" s="6"/>
      <c r="F80" s="6"/>
      <c r="G80" s="58"/>
      <c r="H80" s="6"/>
      <c r="I80" s="7"/>
    </row>
    <row r="81" spans="2:9" x14ac:dyDescent="0.3">
      <c r="B81" s="10"/>
      <c r="C81" s="6"/>
      <c r="D81" s="6"/>
      <c r="E81" s="6"/>
      <c r="F81" s="6"/>
      <c r="G81" s="58"/>
      <c r="H81" s="6"/>
      <c r="I81" s="6"/>
    </row>
    <row r="82" spans="2:9" x14ac:dyDescent="0.3">
      <c r="B82" s="10"/>
      <c r="C82" s="6"/>
      <c r="D82" s="6"/>
      <c r="E82" s="6"/>
      <c r="F82" s="6"/>
      <c r="G82" s="58"/>
      <c r="H82" s="6"/>
      <c r="I82" s="6"/>
    </row>
    <row r="83" spans="2:9" x14ac:dyDescent="0.3">
      <c r="B83" s="10"/>
      <c r="C83" s="6"/>
      <c r="D83" s="6"/>
      <c r="E83" s="6"/>
      <c r="F83" s="6"/>
      <c r="G83" s="58"/>
      <c r="H83" s="6"/>
      <c r="I83" s="6"/>
    </row>
    <row r="84" spans="2:9" x14ac:dyDescent="0.3">
      <c r="B84" s="10"/>
      <c r="C84" s="6"/>
      <c r="D84" s="6"/>
      <c r="E84" s="6"/>
      <c r="F84" s="6"/>
      <c r="G84" s="58"/>
      <c r="H84" s="6"/>
      <c r="I84" s="6"/>
    </row>
    <row r="85" spans="2:9" x14ac:dyDescent="0.3">
      <c r="B85" s="10"/>
      <c r="C85" s="6"/>
      <c r="D85" s="6"/>
      <c r="E85" s="6"/>
      <c r="F85" s="6"/>
      <c r="G85" s="58"/>
      <c r="H85" s="6"/>
      <c r="I85" s="6"/>
    </row>
    <row r="86" spans="2:9" x14ac:dyDescent="0.3">
      <c r="B86" s="10"/>
      <c r="C86" s="6"/>
      <c r="D86" s="6"/>
      <c r="E86" s="6"/>
      <c r="F86" s="6"/>
      <c r="G86" s="58"/>
      <c r="H86" s="6"/>
      <c r="I86" s="6"/>
    </row>
    <row r="87" spans="2:9" x14ac:dyDescent="0.3">
      <c r="B87" s="10"/>
      <c r="C87" s="6"/>
      <c r="D87" s="6"/>
      <c r="E87" s="6"/>
      <c r="F87" s="6"/>
      <c r="G87" s="58"/>
      <c r="H87" s="6"/>
      <c r="I87" s="6"/>
    </row>
    <row r="88" spans="2:9" x14ac:dyDescent="0.3">
      <c r="B88" s="10"/>
      <c r="C88" s="6"/>
      <c r="D88" s="6"/>
      <c r="E88" s="6"/>
      <c r="F88" s="6"/>
      <c r="G88" s="58"/>
      <c r="H88" s="6"/>
      <c r="I88" s="6"/>
    </row>
    <row r="89" spans="2:9" x14ac:dyDescent="0.3">
      <c r="B89" s="10"/>
      <c r="C89" s="6"/>
      <c r="D89" s="6"/>
      <c r="E89" s="6"/>
      <c r="F89" s="6"/>
      <c r="G89" s="58"/>
      <c r="H89" s="6"/>
      <c r="I89" s="6"/>
    </row>
    <row r="90" spans="2:9" x14ac:dyDescent="0.3">
      <c r="B90" s="10"/>
      <c r="C90" s="6"/>
      <c r="D90" s="6"/>
      <c r="E90" s="6"/>
      <c r="F90" s="6"/>
      <c r="G90" s="58"/>
      <c r="H90" s="6"/>
      <c r="I90" s="6"/>
    </row>
    <row r="91" spans="2:9" x14ac:dyDescent="0.3">
      <c r="B91" s="10"/>
      <c r="C91" s="6"/>
      <c r="D91" s="6"/>
      <c r="E91" s="6"/>
      <c r="F91" s="6"/>
      <c r="G91" s="58"/>
      <c r="H91" s="6"/>
      <c r="I91" s="6"/>
    </row>
    <row r="92" spans="2:9" x14ac:dyDescent="0.3">
      <c r="B92" s="10"/>
      <c r="C92" s="6"/>
      <c r="D92" s="6"/>
      <c r="E92" s="6"/>
      <c r="F92" s="6"/>
      <c r="G92" s="58"/>
      <c r="H92" s="6"/>
      <c r="I92" s="6"/>
    </row>
    <row r="93" spans="2:9" x14ac:dyDescent="0.3">
      <c r="B93" s="10"/>
      <c r="C93" s="6"/>
      <c r="D93" s="6"/>
      <c r="E93" s="6"/>
      <c r="F93" s="6"/>
      <c r="G93" s="58"/>
      <c r="H93" s="6"/>
      <c r="I93" s="6"/>
    </row>
    <row r="94" spans="2:9" x14ac:dyDescent="0.3">
      <c r="B94" s="10"/>
      <c r="C94" s="6"/>
      <c r="D94" s="6"/>
      <c r="E94" s="6"/>
      <c r="F94" s="6"/>
      <c r="G94" s="58"/>
      <c r="H94" s="6"/>
      <c r="I94" s="6"/>
    </row>
    <row r="95" spans="2:9" x14ac:dyDescent="0.3">
      <c r="B95" s="10"/>
      <c r="C95" s="6"/>
      <c r="D95" s="6"/>
      <c r="E95" s="6"/>
      <c r="F95" s="6"/>
      <c r="G95" s="58"/>
      <c r="H95" s="6"/>
      <c r="I95" s="6"/>
    </row>
    <row r="96" spans="2:9" x14ac:dyDescent="0.3">
      <c r="B96" s="10"/>
      <c r="C96" s="6"/>
      <c r="D96" s="6"/>
      <c r="E96" s="6"/>
      <c r="F96" s="6"/>
      <c r="G96" s="58"/>
      <c r="H96" s="6"/>
      <c r="I96" s="6"/>
    </row>
    <row r="97" spans="2:9" x14ac:dyDescent="0.3">
      <c r="B97" s="10"/>
      <c r="C97" s="6"/>
      <c r="D97" s="6"/>
      <c r="E97" s="6"/>
      <c r="F97" s="6"/>
      <c r="G97" s="58"/>
      <c r="H97" s="6"/>
      <c r="I97" s="6"/>
    </row>
    <row r="98" spans="2:9" x14ac:dyDescent="0.3">
      <c r="B98" s="10"/>
      <c r="C98" s="6"/>
      <c r="D98" s="6"/>
      <c r="E98" s="6"/>
      <c r="F98" s="6"/>
      <c r="G98" s="58"/>
      <c r="H98" s="6"/>
      <c r="I98" s="6"/>
    </row>
    <row r="99" spans="2:9" x14ac:dyDescent="0.3">
      <c r="B99" s="10"/>
      <c r="C99" s="6"/>
      <c r="D99" s="6"/>
      <c r="E99" s="6"/>
      <c r="F99" s="6"/>
      <c r="G99" s="58"/>
      <c r="H99" s="6"/>
      <c r="I99" s="6"/>
    </row>
    <row r="100" spans="2:9" x14ac:dyDescent="0.3">
      <c r="B100" s="10"/>
      <c r="C100" s="6"/>
      <c r="D100" s="6"/>
      <c r="E100" s="6"/>
      <c r="F100" s="6"/>
      <c r="G100" s="58"/>
      <c r="H100" s="6"/>
      <c r="I100" s="6"/>
    </row>
    <row r="101" spans="2:9" x14ac:dyDescent="0.3">
      <c r="B101" s="10"/>
      <c r="C101" s="6"/>
      <c r="D101" s="6"/>
      <c r="E101" s="6"/>
      <c r="F101" s="6"/>
      <c r="G101" s="58"/>
      <c r="H101" s="6"/>
      <c r="I101" s="6"/>
    </row>
    <row r="102" spans="2:9" x14ac:dyDescent="0.3">
      <c r="B102" s="10"/>
      <c r="C102" s="6"/>
      <c r="D102" s="6"/>
      <c r="E102" s="6"/>
      <c r="F102" s="6"/>
      <c r="G102" s="58"/>
      <c r="H102" s="6"/>
      <c r="I102" s="6"/>
    </row>
    <row r="103" spans="2:9" x14ac:dyDescent="0.3">
      <c r="B103" s="10"/>
      <c r="C103" s="6"/>
      <c r="D103" s="6"/>
      <c r="E103" s="6"/>
      <c r="F103" s="6"/>
      <c r="G103" s="58"/>
      <c r="H103" s="6"/>
      <c r="I103" s="6"/>
    </row>
    <row r="104" spans="2:9" x14ac:dyDescent="0.3">
      <c r="B104" s="10"/>
      <c r="C104" s="6"/>
      <c r="D104" s="6"/>
      <c r="E104" s="6"/>
      <c r="F104" s="6"/>
      <c r="G104" s="58"/>
      <c r="H104" s="6"/>
      <c r="I104" s="6"/>
    </row>
    <row r="105" spans="2:9" x14ac:dyDescent="0.3">
      <c r="B105" s="10"/>
      <c r="C105" s="6"/>
      <c r="D105" s="6"/>
      <c r="E105" s="6"/>
      <c r="F105" s="6"/>
      <c r="G105" s="58"/>
      <c r="H105" s="6"/>
      <c r="I105" s="6"/>
    </row>
    <row r="106" spans="2:9" x14ac:dyDescent="0.3">
      <c r="B106" s="10"/>
      <c r="C106" s="6"/>
      <c r="D106" s="6"/>
      <c r="E106" s="6"/>
      <c r="F106" s="6"/>
      <c r="G106" s="58"/>
      <c r="H106" s="6"/>
      <c r="I106" s="6"/>
    </row>
    <row r="107" spans="2:9" x14ac:dyDescent="0.3">
      <c r="B107" s="10"/>
      <c r="C107" s="6"/>
      <c r="D107" s="6"/>
      <c r="E107" s="6"/>
      <c r="F107" s="6"/>
      <c r="G107" s="58"/>
      <c r="H107" s="6"/>
      <c r="I107" s="6"/>
    </row>
    <row r="108" spans="2:9" x14ac:dyDescent="0.3">
      <c r="B108" s="10"/>
      <c r="C108" s="6"/>
      <c r="D108" s="6"/>
      <c r="E108" s="6"/>
      <c r="F108" s="6"/>
      <c r="G108" s="58"/>
      <c r="H108" s="6"/>
      <c r="I108" s="6"/>
    </row>
    <row r="109" spans="2:9" x14ac:dyDescent="0.3">
      <c r="B109" s="10"/>
      <c r="C109" s="6"/>
      <c r="D109" s="6"/>
      <c r="E109" s="6"/>
      <c r="F109" s="6"/>
      <c r="G109" s="58"/>
      <c r="H109" s="6"/>
      <c r="I109" s="6"/>
    </row>
    <row r="110" spans="2:9" x14ac:dyDescent="0.3">
      <c r="B110" s="10"/>
      <c r="C110" s="6"/>
      <c r="D110" s="6"/>
      <c r="E110" s="6"/>
      <c r="F110" s="6"/>
      <c r="G110" s="58"/>
      <c r="H110" s="6"/>
      <c r="I110" s="6"/>
    </row>
    <row r="111" spans="2:9" x14ac:dyDescent="0.3">
      <c r="B111" s="10"/>
      <c r="C111" s="6"/>
      <c r="D111" s="6"/>
      <c r="E111" s="6"/>
      <c r="F111" s="6"/>
      <c r="G111" s="58"/>
      <c r="H111" s="6"/>
      <c r="I111" s="6"/>
    </row>
    <row r="112" spans="2:9" x14ac:dyDescent="0.3">
      <c r="B112" s="10"/>
      <c r="C112" s="6"/>
      <c r="D112" s="6"/>
      <c r="E112" s="6"/>
      <c r="F112" s="6"/>
      <c r="G112" s="58"/>
      <c r="H112" s="6"/>
      <c r="I112" s="6"/>
    </row>
    <row r="113" spans="2:9" x14ac:dyDescent="0.3">
      <c r="B113" s="10"/>
      <c r="C113" s="6"/>
      <c r="D113" s="6"/>
      <c r="E113" s="6"/>
      <c r="F113" s="6"/>
      <c r="G113" s="58"/>
      <c r="H113" s="6"/>
      <c r="I113" s="6"/>
    </row>
    <row r="114" spans="2:9" x14ac:dyDescent="0.3">
      <c r="B114" s="6"/>
      <c r="C114" s="6"/>
      <c r="I114" s="6"/>
    </row>
  </sheetData>
  <mergeCells count="14">
    <mergeCell ref="B79:C79"/>
    <mergeCell ref="B55:C55"/>
    <mergeCell ref="B64:C64"/>
    <mergeCell ref="J27:K27"/>
    <mergeCell ref="A1:XFD1"/>
    <mergeCell ref="L27:M27"/>
    <mergeCell ref="N27:O27"/>
    <mergeCell ref="D6:E6"/>
    <mergeCell ref="F6:G6"/>
    <mergeCell ref="H6:I6"/>
    <mergeCell ref="J16:K16"/>
    <mergeCell ref="L16:M16"/>
    <mergeCell ref="N16:O16"/>
    <mergeCell ref="B3:C6"/>
  </mergeCells>
  <phoneticPr fontId="4" type="noConversion"/>
  <pageMargins left="0.7" right="0.7" top="0.75" bottom="0.75" header="0.3" footer="0.3"/>
  <pageSetup paperSize="9" scale="23"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9" operator="lessThanOrEqual" id="{E1454725-8808-47BB-833E-3DD2376779AD}">
            <xm:f>'Page de garde'!$L$25</xm:f>
            <x14:dxf>
              <font>
                <b/>
                <i val="0"/>
                <color theme="0"/>
              </font>
              <fill>
                <patternFill>
                  <bgColor rgb="FFFF0000"/>
                </patternFill>
              </fill>
            </x14:dxf>
          </x14:cfRule>
          <x14:cfRule type="cellIs" priority="20" operator="between" id="{BAB2542E-AEF6-4F54-8829-C870D2E48A88}">
            <xm:f>'Page de garde'!$L$25</xm:f>
            <xm:f>'Page de garde'!$L$24</xm:f>
            <x14:dxf>
              <font>
                <b/>
                <i val="0"/>
              </font>
              <fill>
                <patternFill>
                  <bgColor rgb="FFFFC000"/>
                </patternFill>
              </fill>
            </x14:dxf>
          </x14:cfRule>
          <x14:cfRule type="cellIs" priority="21" operator="greaterThanOrEqual" id="{2E029AA6-2243-4212-A766-181DDC181C23}">
            <xm:f>'Page de garde'!$L$24</xm:f>
            <x14:dxf>
              <font>
                <b/>
                <i val="0"/>
                <color theme="0"/>
              </font>
              <fill>
                <patternFill>
                  <bgColor rgb="FF00B050"/>
                </patternFill>
              </fill>
            </x14:dxf>
          </x14:cfRule>
          <xm:sqref>I43</xm:sqref>
        </x14:conditionalFormatting>
        <x14:conditionalFormatting xmlns:xm="http://schemas.microsoft.com/office/excel/2006/main">
          <x14:cfRule type="cellIs" priority="16" operator="lessThanOrEqual" id="{28B3D4C9-EE5A-46CA-B266-7BB2BC551F55}">
            <xm:f>'Page de garde'!$L$25</xm:f>
            <x14:dxf>
              <font>
                <b/>
                <i val="0"/>
                <color theme="0"/>
              </font>
              <fill>
                <patternFill>
                  <bgColor rgb="FFFF0000"/>
                </patternFill>
              </fill>
            </x14:dxf>
          </x14:cfRule>
          <x14:cfRule type="cellIs" priority="17" operator="between" id="{64F1F8F9-376A-49EF-B61D-009366B244C7}">
            <xm:f>'Page de garde'!$L$25</xm:f>
            <xm:f>'Page de garde'!$L$24</xm:f>
            <x14:dxf>
              <font>
                <b/>
                <i val="0"/>
              </font>
              <fill>
                <patternFill>
                  <bgColor rgb="FFFFC000"/>
                </patternFill>
              </fill>
            </x14:dxf>
          </x14:cfRule>
          <x14:cfRule type="cellIs" priority="18" operator="greaterThanOrEqual" id="{CEE8714B-C701-4829-9456-11AC6D840AB6}">
            <xm:f>'Page de garde'!$L$24</xm:f>
            <x14:dxf>
              <font>
                <b/>
                <i val="0"/>
                <color theme="0"/>
              </font>
              <fill>
                <patternFill>
                  <bgColor rgb="FF00B050"/>
                </patternFill>
              </fill>
            </x14:dxf>
          </x14:cfRule>
          <xm:sqref>I39</xm:sqref>
        </x14:conditionalFormatting>
        <x14:conditionalFormatting xmlns:xm="http://schemas.microsoft.com/office/excel/2006/main">
          <x14:cfRule type="cellIs" priority="13" operator="lessThanOrEqual" id="{082E06EB-9DD0-4A14-9DED-14485F1D811A}">
            <xm:f>'Page de garde'!$L$25</xm:f>
            <x14:dxf>
              <font>
                <b/>
                <i val="0"/>
                <color theme="0"/>
              </font>
              <fill>
                <patternFill>
                  <bgColor rgb="FFFF0000"/>
                </patternFill>
              </fill>
            </x14:dxf>
          </x14:cfRule>
          <x14:cfRule type="cellIs" priority="14" operator="between" id="{04F5388E-0C03-4ABF-853A-D8AEC96B6376}">
            <xm:f>'Page de garde'!$L$25</xm:f>
            <xm:f>'Page de garde'!$L$24</xm:f>
            <x14:dxf>
              <font>
                <b/>
                <i val="0"/>
              </font>
              <fill>
                <patternFill>
                  <bgColor rgb="FFFFC000"/>
                </patternFill>
              </fill>
            </x14:dxf>
          </x14:cfRule>
          <x14:cfRule type="cellIs" priority="15" operator="greaterThanOrEqual" id="{AE657D3C-2752-45AE-A8F6-F2367893BE4E}">
            <xm:f>'Page de garde'!$L$24</xm:f>
            <x14:dxf>
              <font>
                <b/>
                <i val="0"/>
                <color theme="0"/>
              </font>
              <fill>
                <patternFill>
                  <bgColor rgb="FF00B050"/>
                </patternFill>
              </fill>
            </x14:dxf>
          </x14:cfRule>
          <xm:sqref>I35</xm:sqref>
        </x14:conditionalFormatting>
        <x14:conditionalFormatting xmlns:xm="http://schemas.microsoft.com/office/excel/2006/main">
          <x14:cfRule type="cellIs" priority="10" operator="lessThanOrEqual" id="{5F31CF5E-EDF4-483D-8B84-413EE7D42C9B}">
            <xm:f>'Page de garde'!$L$25</xm:f>
            <x14:dxf>
              <font>
                <b/>
                <i val="0"/>
                <color theme="0"/>
              </font>
              <fill>
                <patternFill>
                  <bgColor rgb="FFFF0000"/>
                </patternFill>
              </fill>
            </x14:dxf>
          </x14:cfRule>
          <x14:cfRule type="cellIs" priority="11" operator="between" id="{57FD9295-BC78-41A7-BEB5-C04835B96E96}">
            <xm:f>'Page de garde'!$L$25</xm:f>
            <xm:f>'Page de garde'!$L$24</xm:f>
            <x14:dxf>
              <font>
                <b/>
                <i val="0"/>
              </font>
              <fill>
                <patternFill>
                  <bgColor rgb="FFFFC000"/>
                </patternFill>
              </fill>
            </x14:dxf>
          </x14:cfRule>
          <x14:cfRule type="cellIs" priority="12" operator="greaterThanOrEqual" id="{8738A055-DA0B-435F-9A56-691950B79AB9}">
            <xm:f>'Page de garde'!$L$24</xm:f>
            <x14:dxf>
              <font>
                <b/>
                <i val="0"/>
                <color theme="0"/>
              </font>
              <fill>
                <patternFill>
                  <bgColor rgb="FF00B050"/>
                </patternFill>
              </fill>
            </x14:dxf>
          </x14:cfRule>
          <xm:sqref>I32</xm:sqref>
        </x14:conditionalFormatting>
        <x14:conditionalFormatting xmlns:xm="http://schemas.microsoft.com/office/excel/2006/main">
          <x14:cfRule type="cellIs" priority="7" operator="lessThanOrEqual" id="{6F8A9F4C-B2BA-4877-B05D-469C8D66ABA9}">
            <xm:f>'Page de garde'!$L$25</xm:f>
            <x14:dxf>
              <font>
                <b/>
                <i val="0"/>
                <color theme="0"/>
              </font>
              <fill>
                <patternFill>
                  <bgColor rgb="FFFF0000"/>
                </patternFill>
              </fill>
            </x14:dxf>
          </x14:cfRule>
          <x14:cfRule type="cellIs" priority="8" operator="between" id="{2558D301-1D99-4B27-A154-CA51FB09193D}">
            <xm:f>'Page de garde'!$L$25</xm:f>
            <xm:f>'Page de garde'!$L$24</xm:f>
            <x14:dxf>
              <font>
                <b/>
                <i val="0"/>
              </font>
              <fill>
                <patternFill>
                  <bgColor rgb="FFFFC000"/>
                </patternFill>
              </fill>
            </x14:dxf>
          </x14:cfRule>
          <x14:cfRule type="cellIs" priority="9" operator="greaterThanOrEqual" id="{66BBBAEA-CC7D-49D5-9E3F-35E3C248D8BD}">
            <xm:f>'Page de garde'!$L$24</xm:f>
            <x14:dxf>
              <font>
                <b/>
                <i val="0"/>
                <color theme="0"/>
              </font>
              <fill>
                <patternFill>
                  <bgColor rgb="FF00B050"/>
                </patternFill>
              </fill>
            </x14:dxf>
          </x14:cfRule>
          <xm:sqref>I14</xm:sqref>
        </x14:conditionalFormatting>
        <x14:conditionalFormatting xmlns:xm="http://schemas.microsoft.com/office/excel/2006/main">
          <x14:cfRule type="cellIs" priority="4" operator="lessThanOrEqual" id="{68988D88-2373-4ED1-90DF-CD932919A4FE}">
            <xm:f>'Page de garde'!$L$25</xm:f>
            <x14:dxf>
              <font>
                <b/>
                <i val="0"/>
                <color theme="0"/>
              </font>
              <fill>
                <patternFill>
                  <bgColor rgb="FFFF0000"/>
                </patternFill>
              </fill>
            </x14:dxf>
          </x14:cfRule>
          <x14:cfRule type="cellIs" priority="5" operator="between" id="{E13E7DE8-610A-40CE-97C6-6CAC342D36CE}">
            <xm:f>'Page de garde'!$L$25</xm:f>
            <xm:f>'Page de garde'!$L$24</xm:f>
            <x14:dxf>
              <font>
                <b/>
                <i val="0"/>
              </font>
              <fill>
                <patternFill>
                  <bgColor rgb="FFFFC000"/>
                </patternFill>
              </fill>
            </x14:dxf>
          </x14:cfRule>
          <x14:cfRule type="cellIs" priority="6" operator="greaterThanOrEqual" id="{4E9F3F58-A773-4BB6-9617-A86CB924F2E5}">
            <xm:f>'Page de garde'!$L$24</xm:f>
            <x14:dxf>
              <font>
                <b/>
                <i val="0"/>
                <color theme="0"/>
              </font>
              <fill>
                <patternFill>
                  <bgColor rgb="FF00B050"/>
                </patternFill>
              </fill>
            </x14:dxf>
          </x14:cfRule>
          <xm:sqref>I9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06E6E-75B5-4C1F-9A62-2E03891CC02F}">
  <sheetPr>
    <tabColor theme="3"/>
    <pageSetUpPr fitToPage="1"/>
  </sheetPr>
  <dimension ref="A1:M45"/>
  <sheetViews>
    <sheetView zoomScale="36" zoomScaleNormal="59" workbookViewId="0">
      <selection activeCell="E12" sqref="E12"/>
    </sheetView>
  </sheetViews>
  <sheetFormatPr defaultRowHeight="14.4" x14ac:dyDescent="0.3"/>
  <cols>
    <col min="1" max="1" width="4.33203125" style="23" customWidth="1"/>
    <col min="2" max="2" width="27.21875" style="15" customWidth="1"/>
    <col min="3" max="3" width="70.5546875" style="1" customWidth="1"/>
    <col min="4" max="4" width="35.88671875" style="15" customWidth="1"/>
    <col min="5" max="5" width="26.21875" customWidth="1"/>
    <col min="6" max="6" width="33.6640625" customWidth="1"/>
    <col min="7" max="7" width="38.77734375" style="1" customWidth="1"/>
    <col min="8" max="8" width="65.6640625" customWidth="1"/>
    <col min="9" max="9" width="29" customWidth="1"/>
  </cols>
  <sheetData>
    <row r="1" spans="1:13" s="103" customFormat="1" ht="66" customHeight="1" x14ac:dyDescent="0.3"/>
    <row r="3" spans="1:13" ht="14.4" customHeight="1" x14ac:dyDescent="0.3">
      <c r="B3" s="107" t="s">
        <v>0</v>
      </c>
      <c r="C3" s="107"/>
      <c r="D3" s="2"/>
      <c r="E3" s="2"/>
    </row>
    <row r="4" spans="1:13" ht="31.2" customHeight="1" x14ac:dyDescent="0.3">
      <c r="B4" s="107"/>
      <c r="C4" s="107"/>
      <c r="D4" s="2"/>
      <c r="E4" s="2"/>
    </row>
    <row r="5" spans="1:13" s="4" customFormat="1" ht="16.2" customHeight="1" x14ac:dyDescent="0.3">
      <c r="A5" s="24"/>
      <c r="B5" s="107"/>
      <c r="C5" s="107"/>
      <c r="D5" s="5"/>
      <c r="E5" s="5"/>
      <c r="F5" s="5"/>
      <c r="G5" s="5"/>
      <c r="H5" s="5"/>
    </row>
    <row r="6" spans="1:13" ht="16.2" customHeight="1" x14ac:dyDescent="0.3">
      <c r="B6" s="108"/>
      <c r="C6" s="108"/>
      <c r="D6" s="16"/>
      <c r="E6" s="106"/>
      <c r="F6" s="106"/>
      <c r="G6" s="106"/>
      <c r="H6" s="106"/>
    </row>
    <row r="7" spans="1:13" s="4" customFormat="1" ht="16.2" customHeight="1" x14ac:dyDescent="0.3">
      <c r="A7" s="98" t="s">
        <v>169</v>
      </c>
      <c r="B7" s="87" t="s">
        <v>78</v>
      </c>
      <c r="C7" s="87" t="s">
        <v>77</v>
      </c>
      <c r="D7" s="87" t="s">
        <v>195</v>
      </c>
      <c r="E7" s="88" t="s">
        <v>159</v>
      </c>
      <c r="F7" s="88" t="s">
        <v>179</v>
      </c>
      <c r="G7" s="89" t="s">
        <v>238</v>
      </c>
      <c r="H7" s="89" t="s">
        <v>178</v>
      </c>
      <c r="I7" s="88" t="s">
        <v>211</v>
      </c>
      <c r="J7" s="5"/>
      <c r="K7" s="5"/>
      <c r="L7" s="5"/>
      <c r="M7" s="5"/>
    </row>
    <row r="8" spans="1:13" s="4" customFormat="1" ht="16.2" customHeight="1" x14ac:dyDescent="0.4">
      <c r="A8" s="23">
        <v>4</v>
      </c>
      <c r="B8" s="80"/>
      <c r="C8" s="27" t="s">
        <v>1</v>
      </c>
      <c r="D8" s="27"/>
      <c r="E8" s="34"/>
      <c r="F8" s="86"/>
      <c r="G8" s="54"/>
      <c r="H8" s="13"/>
      <c r="I8" s="33"/>
      <c r="J8" s="5"/>
      <c r="K8" s="5"/>
      <c r="L8" s="5"/>
      <c r="M8" s="5"/>
    </row>
    <row r="9" spans="1:13" s="4" customFormat="1" ht="16.2" customHeight="1" x14ac:dyDescent="0.3">
      <c r="A9" s="23">
        <v>4</v>
      </c>
      <c r="B9" s="80"/>
      <c r="C9" s="28" t="s">
        <v>83</v>
      </c>
      <c r="D9" s="28"/>
      <c r="E9" s="34"/>
      <c r="F9" s="34"/>
      <c r="G9" s="54"/>
      <c r="H9" s="13"/>
      <c r="I9" s="39">
        <f>AVERAGE(I10)/3</f>
        <v>0</v>
      </c>
      <c r="J9" s="5"/>
      <c r="K9" s="5"/>
      <c r="L9" s="5"/>
      <c r="M9" s="5"/>
    </row>
    <row r="10" spans="1:13" ht="32.4" customHeight="1" x14ac:dyDescent="0.3">
      <c r="A10" s="23">
        <v>4</v>
      </c>
      <c r="B10" s="81" t="s">
        <v>8</v>
      </c>
      <c r="C10" s="13" t="s">
        <v>10</v>
      </c>
      <c r="D10" s="35"/>
      <c r="E10" s="35"/>
      <c r="F10" s="35"/>
      <c r="G10" s="54"/>
      <c r="H10" s="13"/>
      <c r="I10" s="79" cm="1">
        <f t="array" ref="I10">_xlfn.IFS(Table134[[#This Row],[Niveau de conformité]]="Partiellement appliqué", 1, Table134[[#This Row],[Niveau de conformité]]="Largement appliqué", 2, Table134[[#This Row],[Niveau de conformité]]="Totalement appliqué", 3, TRUE, 0)/1</f>
        <v>0</v>
      </c>
      <c r="J10" s="6"/>
      <c r="K10" s="6"/>
      <c r="L10" s="6"/>
      <c r="M10" s="6"/>
    </row>
    <row r="11" spans="1:13" ht="33.6" customHeight="1" x14ac:dyDescent="0.3">
      <c r="A11" s="23">
        <v>6</v>
      </c>
      <c r="B11" s="82"/>
      <c r="C11" s="27" t="s">
        <v>5</v>
      </c>
      <c r="D11" s="27"/>
      <c r="E11" s="35"/>
      <c r="F11" s="35"/>
      <c r="G11" s="54"/>
      <c r="H11" s="13"/>
      <c r="I11" s="33"/>
      <c r="J11" s="6"/>
      <c r="K11" s="6"/>
      <c r="L11" s="6"/>
      <c r="M11" s="6"/>
    </row>
    <row r="12" spans="1:13" ht="33.6" customHeight="1" x14ac:dyDescent="0.3">
      <c r="A12" s="23">
        <v>6</v>
      </c>
      <c r="B12" s="81"/>
      <c r="C12" s="28" t="s">
        <v>87</v>
      </c>
      <c r="D12" s="28"/>
      <c r="E12" s="35"/>
      <c r="F12" s="35"/>
      <c r="G12" s="54"/>
      <c r="H12" s="13"/>
      <c r="I12" s="39">
        <f>AVERAGE(I13:I23)/3</f>
        <v>0</v>
      </c>
      <c r="J12" s="6"/>
      <c r="K12" s="6"/>
      <c r="L12" s="6"/>
      <c r="M12" s="6"/>
    </row>
    <row r="13" spans="1:13" ht="100.2" customHeight="1" x14ac:dyDescent="0.3">
      <c r="A13" s="23">
        <v>6</v>
      </c>
      <c r="B13" s="83" t="s">
        <v>34</v>
      </c>
      <c r="C13" s="13" t="s">
        <v>35</v>
      </c>
      <c r="D13" s="12" t="s">
        <v>199</v>
      </c>
      <c r="E13" s="35"/>
      <c r="F13" s="35"/>
      <c r="G13" s="54"/>
      <c r="H13" s="13"/>
      <c r="I13" s="79" cm="1">
        <f t="array" ref="I13">_xlfn.IFS(Table134[[#This Row],[Niveau de conformité]]="Partiellement appliqué", 1, Table134[[#This Row],[Niveau de conformité]]="Largement appliqué", 2, Table134[[#This Row],[Niveau de conformité]]="Totalement appliqué", 3, TRUE, 0)/1</f>
        <v>0</v>
      </c>
      <c r="J13" s="6"/>
      <c r="K13" s="6"/>
      <c r="L13" s="6"/>
      <c r="M13" s="6"/>
    </row>
    <row r="14" spans="1:13" ht="108" customHeight="1" x14ac:dyDescent="0.3">
      <c r="A14" s="23">
        <v>6</v>
      </c>
      <c r="B14" s="83" t="s">
        <v>18</v>
      </c>
      <c r="C14" s="13" t="s">
        <v>237</v>
      </c>
      <c r="D14" s="12" t="s">
        <v>207</v>
      </c>
      <c r="E14" s="35"/>
      <c r="F14" s="35"/>
      <c r="G14" s="54"/>
      <c r="H14" s="13"/>
      <c r="I14" s="45" cm="1">
        <f t="array" ref="I14">_xlfn.IFS(Table134[[#This Row],[Niveau de conformité]]="Partiellement appliqué", 1, Table134[[#This Row],[Niveau de conformité]]="Largement appliqué", 2, Table134[[#This Row],[Niveau de conformité]]="Totalement appliqué", 3, TRUE, 0)/1</f>
        <v>0</v>
      </c>
      <c r="J14" s="6"/>
      <c r="K14" s="6"/>
      <c r="L14" s="6"/>
      <c r="M14" s="6"/>
    </row>
    <row r="15" spans="1:13" ht="180.6" customHeight="1" x14ac:dyDescent="0.3">
      <c r="A15" s="23">
        <v>6</v>
      </c>
      <c r="B15" s="84" t="s">
        <v>19</v>
      </c>
      <c r="C15" s="22" t="s">
        <v>20</v>
      </c>
      <c r="D15" s="12" t="s">
        <v>207</v>
      </c>
      <c r="E15" s="35"/>
      <c r="F15" s="35"/>
      <c r="G15" s="54"/>
      <c r="H15" s="13"/>
      <c r="I15" s="79" cm="1">
        <f t="array" ref="I15">_xlfn.IFS(Table134[[#This Row],[Niveau de conformité]]="Partiellement appliqué", 1, Table134[[#This Row],[Niveau de conformité]]="Largement appliqué", 2, Table134[[#This Row],[Niveau de conformité]]="Totalement appliqué", 3, TRUE, 0)/1</f>
        <v>0</v>
      </c>
      <c r="J15" s="6"/>
      <c r="K15" s="6"/>
      <c r="L15" s="6"/>
      <c r="M15" s="6"/>
    </row>
    <row r="16" spans="1:13" ht="98.4" customHeight="1" x14ac:dyDescent="0.3">
      <c r="A16" s="23">
        <v>6</v>
      </c>
      <c r="B16" s="84" t="s">
        <v>21</v>
      </c>
      <c r="C16" s="22" t="s">
        <v>36</v>
      </c>
      <c r="D16" s="12" t="s">
        <v>207</v>
      </c>
      <c r="E16" s="35"/>
      <c r="F16" s="35"/>
      <c r="G16" s="54"/>
      <c r="H16" s="13"/>
      <c r="I16" s="79" cm="1">
        <f t="array" ref="I16">_xlfn.IFS(Table134[[#This Row],[Niveau de conformité]]="Partiellement appliqué", 1, Table134[[#This Row],[Niveau de conformité]]="Largement appliqué", 2, Table134[[#This Row],[Niveau de conformité]]="Totalement appliqué", 3, TRUE, 0)/1</f>
        <v>0</v>
      </c>
      <c r="J16" s="6"/>
      <c r="K16" s="6"/>
      <c r="L16" s="6"/>
      <c r="M16" s="6"/>
    </row>
    <row r="17" spans="1:13" ht="108" customHeight="1" x14ac:dyDescent="0.3">
      <c r="A17" s="23">
        <v>6</v>
      </c>
      <c r="B17" s="84" t="s">
        <v>22</v>
      </c>
      <c r="C17" s="22" t="s">
        <v>23</v>
      </c>
      <c r="D17" s="12" t="s">
        <v>207</v>
      </c>
      <c r="E17" s="35"/>
      <c r="F17" s="35"/>
      <c r="G17" s="54"/>
      <c r="H17" s="13"/>
      <c r="I17" s="79" cm="1">
        <f t="array" ref="I17">_xlfn.IFS(Table134[[#This Row],[Niveau de conformité]]="Partiellement appliqué", 1, Table134[[#This Row],[Niveau de conformité]]="Largement appliqué", 2, Table134[[#This Row],[Niveau de conformité]]="Totalement appliqué", 3, TRUE, 0)/1</f>
        <v>0</v>
      </c>
      <c r="J17" s="6"/>
      <c r="K17" s="6"/>
      <c r="L17" s="6"/>
      <c r="M17" s="6"/>
    </row>
    <row r="18" spans="1:13" ht="60" customHeight="1" x14ac:dyDescent="0.3">
      <c r="A18" s="23">
        <v>6</v>
      </c>
      <c r="B18" s="84" t="s">
        <v>29</v>
      </c>
      <c r="C18" s="22" t="s">
        <v>24</v>
      </c>
      <c r="D18" s="12" t="s">
        <v>209</v>
      </c>
      <c r="E18" s="35"/>
      <c r="F18" s="35"/>
      <c r="G18" s="54"/>
      <c r="H18" s="13"/>
      <c r="I18" s="79" cm="1">
        <f t="array" ref="I18">_xlfn.IFS(Table134[[#This Row],[Niveau de conformité]]="Partiellement appliqué", 1, Table134[[#This Row],[Niveau de conformité]]="Largement appliqué", 2, Table134[[#This Row],[Niveau de conformité]]="Totalement appliqué", 3, TRUE, 0)/1</f>
        <v>0</v>
      </c>
      <c r="J18" s="6"/>
      <c r="K18" s="6"/>
      <c r="L18" s="6"/>
      <c r="M18" s="6"/>
    </row>
    <row r="19" spans="1:13" ht="99.6" customHeight="1" x14ac:dyDescent="0.3">
      <c r="A19" s="23">
        <v>6</v>
      </c>
      <c r="B19" s="84" t="s">
        <v>30</v>
      </c>
      <c r="C19" s="32" t="s">
        <v>27</v>
      </c>
      <c r="D19" s="12" t="s">
        <v>209</v>
      </c>
      <c r="E19" s="35"/>
      <c r="F19" s="35"/>
      <c r="G19" s="54"/>
      <c r="H19" s="13"/>
      <c r="I19" s="79" cm="1">
        <f t="array" ref="I19">_xlfn.IFS(Table134[[#This Row],[Niveau de conformité]]="Partiellement appliqué", 1, Table134[[#This Row],[Niveau de conformité]]="Largement appliqué", 2, Table134[[#This Row],[Niveau de conformité]]="Totalement appliqué", 3, TRUE, 0)/1</f>
        <v>0</v>
      </c>
      <c r="J19" s="6"/>
      <c r="K19" s="6"/>
      <c r="L19" s="6"/>
      <c r="M19" s="6"/>
    </row>
    <row r="20" spans="1:13" ht="106.2" customHeight="1" x14ac:dyDescent="0.3">
      <c r="A20" s="23">
        <v>6</v>
      </c>
      <c r="B20" s="84" t="s">
        <v>31</v>
      </c>
      <c r="C20" s="32" t="s">
        <v>28</v>
      </c>
      <c r="D20" s="12" t="s">
        <v>209</v>
      </c>
      <c r="E20" s="35"/>
      <c r="F20" s="35"/>
      <c r="G20" s="54"/>
      <c r="H20" s="13"/>
      <c r="I20" s="79" cm="1">
        <f t="array" ref="I20">_xlfn.IFS(Table134[[#This Row],[Niveau de conformité]]="Partiellement appliqué", 1, Table134[[#This Row],[Niveau de conformité]]="Largement appliqué", 2, Table134[[#This Row],[Niveau de conformité]]="Totalement appliqué", 3, TRUE, 0)/1</f>
        <v>0</v>
      </c>
      <c r="J20" s="6"/>
      <c r="K20" s="6"/>
      <c r="L20" s="6"/>
      <c r="M20" s="6"/>
    </row>
    <row r="21" spans="1:13" ht="100.2" customHeight="1" x14ac:dyDescent="0.3">
      <c r="A21" s="23">
        <v>6</v>
      </c>
      <c r="B21" s="84" t="s">
        <v>25</v>
      </c>
      <c r="C21" s="22" t="s">
        <v>32</v>
      </c>
      <c r="D21" s="12" t="s">
        <v>209</v>
      </c>
      <c r="E21" s="35"/>
      <c r="F21" s="35"/>
      <c r="G21" s="54"/>
      <c r="H21" s="13"/>
      <c r="I21" s="79" cm="1">
        <f t="array" ref="I21">_xlfn.IFS(Table134[[#This Row],[Niveau de conformité]]="Partiellement appliqué", 1, Table134[[#This Row],[Niveau de conformité]]="Largement appliqué", 2, Table134[[#This Row],[Niveau de conformité]]="Totalement appliqué", 3, TRUE, 0)/1</f>
        <v>0</v>
      </c>
      <c r="J21" s="6"/>
      <c r="K21" s="6"/>
      <c r="L21" s="6"/>
      <c r="M21" s="6"/>
    </row>
    <row r="22" spans="1:13" ht="60" customHeight="1" x14ac:dyDescent="0.3">
      <c r="A22" s="23">
        <v>6</v>
      </c>
      <c r="B22" s="84" t="s">
        <v>26</v>
      </c>
      <c r="C22" s="32" t="s">
        <v>33</v>
      </c>
      <c r="D22" s="12" t="s">
        <v>209</v>
      </c>
      <c r="E22" s="35"/>
      <c r="F22" s="35"/>
      <c r="G22" s="54"/>
      <c r="H22" s="13"/>
      <c r="I22" s="79" cm="1">
        <f t="array" ref="I22">_xlfn.IFS(Table134[[#This Row],[Niveau de conformité]]="Partiellement appliqué", 1, Table134[[#This Row],[Niveau de conformité]]="Largement appliqué", 2, Table134[[#This Row],[Niveau de conformité]]="Totalement appliqué", 3, TRUE, 0)/1</f>
        <v>0</v>
      </c>
      <c r="J22" s="6"/>
      <c r="K22" s="6"/>
      <c r="L22" s="6"/>
      <c r="M22" s="6"/>
    </row>
    <row r="23" spans="1:13" ht="60" customHeight="1" x14ac:dyDescent="0.3">
      <c r="A23" s="23">
        <v>6</v>
      </c>
      <c r="B23" s="84" t="s">
        <v>34</v>
      </c>
      <c r="C23" s="22" t="s">
        <v>35</v>
      </c>
      <c r="D23" s="12" t="s">
        <v>209</v>
      </c>
      <c r="E23" s="35"/>
      <c r="F23" s="35"/>
      <c r="G23" s="54"/>
      <c r="H23" s="13"/>
      <c r="I23" s="79" cm="1">
        <f t="array" ref="I23">_xlfn.IFS(Table134[[#This Row],[Niveau de conformité]]="Partiellement appliqué", 1, Table134[[#This Row],[Niveau de conformité]]="Largement appliqué", 2, Table134[[#This Row],[Niveau de conformité]]="Totalement appliqué", 3, TRUE, 0)/1</f>
        <v>0</v>
      </c>
      <c r="J23" s="6"/>
      <c r="K23" s="6"/>
      <c r="L23" s="6"/>
      <c r="M23" s="6"/>
    </row>
    <row r="24" spans="1:13" ht="88.8" customHeight="1" x14ac:dyDescent="0.3">
      <c r="A24" s="23">
        <v>6</v>
      </c>
      <c r="B24" s="81"/>
      <c r="C24" s="28" t="s">
        <v>88</v>
      </c>
      <c r="D24" s="28"/>
      <c r="E24" s="35"/>
      <c r="F24" s="35"/>
      <c r="G24" s="54"/>
      <c r="H24" s="13"/>
      <c r="I24" s="39">
        <f>AVERAGE(I25:I32)/3</f>
        <v>0</v>
      </c>
      <c r="J24" s="16"/>
      <c r="K24" s="16"/>
      <c r="L24" s="16"/>
      <c r="M24" s="16"/>
    </row>
    <row r="25" spans="1:13" ht="60" customHeight="1" x14ac:dyDescent="0.3">
      <c r="A25" s="23">
        <v>6</v>
      </c>
      <c r="B25" s="81" t="s">
        <v>38</v>
      </c>
      <c r="C25" s="13" t="s">
        <v>37</v>
      </c>
      <c r="D25" s="12" t="s">
        <v>136</v>
      </c>
      <c r="E25" s="35"/>
      <c r="F25" s="35"/>
      <c r="G25" s="54"/>
      <c r="H25" s="13"/>
      <c r="I25" s="79" cm="1">
        <f t="array" ref="I25">_xlfn.IFS(Table134[[#This Row],[Niveau de conformité]]="Partiellement appliqué", 1, Table134[[#This Row],[Niveau de conformité]]="Largement appliqué", 2, Table134[[#This Row],[Niveau de conformité]]="Totalement appliqué", 3, TRUE, 0)/1</f>
        <v>0</v>
      </c>
      <c r="J25" s="6"/>
      <c r="K25" s="6"/>
      <c r="L25" s="6"/>
      <c r="M25" s="6"/>
    </row>
    <row r="26" spans="1:13" ht="60" customHeight="1" x14ac:dyDescent="0.3">
      <c r="A26" s="23">
        <v>6</v>
      </c>
      <c r="B26" s="81" t="s">
        <v>39</v>
      </c>
      <c r="C26" s="14" t="s">
        <v>44</v>
      </c>
      <c r="D26" s="12" t="s">
        <v>136</v>
      </c>
      <c r="E26" s="35"/>
      <c r="F26" s="35"/>
      <c r="G26" s="54"/>
      <c r="H26" s="13"/>
      <c r="I26" s="79" cm="1">
        <f t="array" ref="I26">_xlfn.IFS(Table134[[#This Row],[Niveau de conformité]]="Partiellement appliqué", 1, Table134[[#This Row],[Niveau de conformité]]="Largement appliqué", 2, Table134[[#This Row],[Niveau de conformité]]="Totalement appliqué", 3, TRUE, 0)/1</f>
        <v>0</v>
      </c>
      <c r="J26" s="6"/>
      <c r="K26" s="6"/>
      <c r="L26" s="6"/>
      <c r="M26" s="6"/>
    </row>
    <row r="27" spans="1:13" ht="60" customHeight="1" x14ac:dyDescent="0.3">
      <c r="A27" s="23">
        <v>6</v>
      </c>
      <c r="B27" s="85" t="s">
        <v>39</v>
      </c>
      <c r="C27" s="32" t="s">
        <v>44</v>
      </c>
      <c r="D27" s="12" t="s">
        <v>136</v>
      </c>
      <c r="E27" s="35"/>
      <c r="F27" s="35"/>
      <c r="G27" s="54"/>
      <c r="H27" s="13"/>
      <c r="I27" s="79" cm="1">
        <f t="array" ref="I27">_xlfn.IFS(Table134[[#This Row],[Niveau de conformité]]="Partiellement appliqué", 1, Table134[[#This Row],[Niveau de conformité]]="Largement appliqué", 2, Table134[[#This Row],[Niveau de conformité]]="Totalement appliqué", 3, TRUE, 0)/1</f>
        <v>0</v>
      </c>
      <c r="J27" s="6"/>
      <c r="K27" s="6"/>
      <c r="L27" s="6"/>
      <c r="M27" s="6"/>
    </row>
    <row r="28" spans="1:13" ht="60" customHeight="1" x14ac:dyDescent="0.3">
      <c r="A28" s="23">
        <v>6</v>
      </c>
      <c r="B28" s="85" t="s">
        <v>40</v>
      </c>
      <c r="C28" s="22" t="s">
        <v>45</v>
      </c>
      <c r="D28" s="12" t="s">
        <v>136</v>
      </c>
      <c r="E28" s="35"/>
      <c r="F28" s="35"/>
      <c r="G28" s="54"/>
      <c r="H28" s="13"/>
      <c r="I28" s="79" cm="1">
        <f t="array" ref="I28">_xlfn.IFS(Table134[[#This Row],[Niveau de conformité]]="Partiellement appliqué", 1, Table134[[#This Row],[Niveau de conformité]]="Largement appliqué", 2, Table134[[#This Row],[Niveau de conformité]]="Totalement appliqué", 3, TRUE, 0)/1</f>
        <v>0</v>
      </c>
      <c r="J28" s="6"/>
      <c r="K28" s="6"/>
      <c r="L28" s="6"/>
      <c r="M28" s="6"/>
    </row>
    <row r="29" spans="1:13" ht="60" customHeight="1" x14ac:dyDescent="0.3">
      <c r="A29" s="23">
        <v>6</v>
      </c>
      <c r="B29" s="85" t="s">
        <v>41</v>
      </c>
      <c r="C29" s="22" t="s">
        <v>46</v>
      </c>
      <c r="D29" s="12" t="s">
        <v>210</v>
      </c>
      <c r="E29" s="35"/>
      <c r="F29" s="35"/>
      <c r="G29" s="54"/>
      <c r="H29" s="13"/>
      <c r="I29" s="79" cm="1">
        <f t="array" ref="I29">_xlfn.IFS(Table134[[#This Row],[Niveau de conformité]]="Partiellement appliqué", 1, Table134[[#This Row],[Niveau de conformité]]="Largement appliqué", 2, Table134[[#This Row],[Niveau de conformité]]="Totalement appliqué", 3, TRUE, 0)/1</f>
        <v>0</v>
      </c>
      <c r="J29" s="6"/>
      <c r="K29" s="6"/>
      <c r="L29" s="6"/>
      <c r="M29" s="6"/>
    </row>
    <row r="30" spans="1:13" ht="60" customHeight="1" x14ac:dyDescent="0.3">
      <c r="A30" s="23">
        <v>6</v>
      </c>
      <c r="B30" s="85" t="s">
        <v>42</v>
      </c>
      <c r="C30" s="22" t="s">
        <v>47</v>
      </c>
      <c r="D30" s="12" t="s">
        <v>197</v>
      </c>
      <c r="E30" s="35"/>
      <c r="F30" s="35"/>
      <c r="G30" s="54"/>
      <c r="H30" s="13"/>
      <c r="I30" s="79" cm="1">
        <f t="array" ref="I30">_xlfn.IFS(Table134[[#This Row],[Niveau de conformité]]="Partiellement appliqué", 1, Table134[[#This Row],[Niveau de conformité]]="Largement appliqué", 2, Table134[[#This Row],[Niveau de conformité]]="Totalement appliqué", 3, TRUE, 0)/1</f>
        <v>0</v>
      </c>
      <c r="J30" s="6"/>
      <c r="K30" s="6"/>
      <c r="L30" s="6"/>
      <c r="M30" s="6"/>
    </row>
    <row r="31" spans="1:13" ht="43.2" x14ac:dyDescent="0.3">
      <c r="A31" s="23">
        <v>6</v>
      </c>
      <c r="B31" s="85" t="s">
        <v>43</v>
      </c>
      <c r="C31" s="22" t="s">
        <v>248</v>
      </c>
      <c r="D31" s="12" t="s">
        <v>197</v>
      </c>
      <c r="E31" s="35"/>
      <c r="F31" s="35"/>
      <c r="G31" s="54"/>
      <c r="H31" s="13"/>
      <c r="I31" s="79" cm="1">
        <f t="array" ref="I31">_xlfn.IFS(Table134[[#This Row],[Niveau de conformité]]="Partiellement appliqué", 1, Table134[[#This Row],[Niveau de conformité]]="Largement appliqué", 2, Table134[[#This Row],[Niveau de conformité]]="Totalement appliqué", 3, TRUE, 0)/1</f>
        <v>0</v>
      </c>
      <c r="J31" s="6"/>
      <c r="K31" s="6"/>
      <c r="L31" s="6"/>
      <c r="M31" s="6"/>
    </row>
    <row r="32" spans="1:13" ht="144" x14ac:dyDescent="0.3">
      <c r="A32" s="23">
        <v>6</v>
      </c>
      <c r="B32" s="81" t="s">
        <v>41</v>
      </c>
      <c r="C32" s="13" t="s">
        <v>46</v>
      </c>
      <c r="D32" s="12" t="s">
        <v>137</v>
      </c>
      <c r="E32" s="35"/>
      <c r="F32" s="35"/>
      <c r="G32" s="54"/>
      <c r="H32" s="13"/>
      <c r="I32" s="79" cm="1">
        <f t="array" ref="I32">_xlfn.IFS(Table134[[#This Row],[Niveau de conformité]]="Partiellement appliqué", 1, Table134[[#This Row],[Niveau de conformité]]="Largement appliqué", 2, Table134[[#This Row],[Niveau de conformité]]="Totalement appliqué", 3, TRUE, 0)/1</f>
        <v>0</v>
      </c>
      <c r="J32" s="6"/>
      <c r="K32" s="6"/>
      <c r="L32" s="6"/>
      <c r="M32" s="6"/>
    </row>
    <row r="33" spans="1:13" ht="118.2" customHeight="1" x14ac:dyDescent="0.3">
      <c r="A33" s="23">
        <v>6</v>
      </c>
      <c r="B33" s="81"/>
      <c r="C33" s="28" t="s">
        <v>89</v>
      </c>
      <c r="D33" s="28"/>
      <c r="E33" s="35"/>
      <c r="F33" s="35"/>
      <c r="G33" s="54"/>
      <c r="H33" s="13"/>
      <c r="I33" s="39">
        <f>AVERAGE(I34)/3</f>
        <v>0</v>
      </c>
      <c r="J33" s="6"/>
      <c r="K33" s="6"/>
      <c r="L33" s="6"/>
      <c r="M33" s="6"/>
    </row>
    <row r="34" spans="1:13" ht="21" x14ac:dyDescent="0.3">
      <c r="A34" s="23">
        <v>6</v>
      </c>
      <c r="B34" s="81" t="s">
        <v>64</v>
      </c>
      <c r="C34" s="13" t="s">
        <v>65</v>
      </c>
      <c r="D34" s="12"/>
      <c r="E34" s="35"/>
      <c r="F34" s="35"/>
      <c r="G34" s="54"/>
      <c r="H34" s="13"/>
      <c r="I34" s="79" cm="1">
        <f t="array" ref="I34">_xlfn.IFS(Table134[[#This Row],[Niveau de conformité]]="Partiellement appliqué", 1, Table134[[#This Row],[Niveau de conformité]]="Largement appliqué", 2, Table134[[#This Row],[Niveau de conformité]]="Totalement appliqué", 3, TRUE, 0)/1</f>
        <v>0</v>
      </c>
      <c r="J34" s="106"/>
      <c r="K34" s="106"/>
      <c r="L34" s="106"/>
      <c r="M34" s="106"/>
    </row>
    <row r="35" spans="1:13" ht="21" x14ac:dyDescent="0.3">
      <c r="A35" s="23">
        <v>7</v>
      </c>
      <c r="B35" s="81"/>
      <c r="C35" s="27" t="s">
        <v>66</v>
      </c>
      <c r="D35" s="27"/>
      <c r="E35" s="35"/>
      <c r="F35" s="35"/>
      <c r="G35" s="54"/>
      <c r="H35" s="13"/>
      <c r="I35" s="33"/>
      <c r="J35" s="6"/>
      <c r="K35" s="6"/>
      <c r="L35" s="6"/>
      <c r="M35" s="6"/>
    </row>
    <row r="36" spans="1:13" ht="16.2" customHeight="1" x14ac:dyDescent="0.3">
      <c r="A36" s="23">
        <v>7</v>
      </c>
      <c r="B36" s="81"/>
      <c r="C36" s="28" t="s">
        <v>91</v>
      </c>
      <c r="D36" s="28"/>
      <c r="E36" s="35"/>
      <c r="F36" s="35"/>
      <c r="G36" s="54"/>
      <c r="H36" s="13"/>
      <c r="I36" s="39">
        <f>AVERAGE(I37:I38)/3</f>
        <v>0</v>
      </c>
      <c r="J36" s="16"/>
      <c r="K36" s="16"/>
      <c r="L36" s="16"/>
      <c r="M36" s="16"/>
    </row>
    <row r="37" spans="1:13" ht="97.2" customHeight="1" x14ac:dyDescent="0.3">
      <c r="A37" s="23">
        <v>7</v>
      </c>
      <c r="B37" s="81" t="s">
        <v>69</v>
      </c>
      <c r="C37" s="13" t="s">
        <v>176</v>
      </c>
      <c r="D37" s="12" t="s">
        <v>139</v>
      </c>
      <c r="E37" s="35"/>
      <c r="F37" s="35"/>
      <c r="G37" s="54"/>
      <c r="H37" s="13"/>
      <c r="I37" s="79" cm="1">
        <f t="array" ref="I37">_xlfn.IFS(Table134[[#This Row],[Niveau de conformité]]="Partiellement appliqué", 1, Table134[[#This Row],[Niveau de conformité]]="Largement appliqué", 2, Table134[[#This Row],[Niveau de conformité]]="Totalement appliqué", 3, TRUE, 0)/1</f>
        <v>0</v>
      </c>
      <c r="J37" s="6"/>
      <c r="K37" s="6"/>
      <c r="L37" s="6"/>
      <c r="M37" s="6"/>
    </row>
    <row r="38" spans="1:13" ht="172.8" x14ac:dyDescent="0.3">
      <c r="A38" s="23">
        <v>7</v>
      </c>
      <c r="B38" s="81" t="s">
        <v>70</v>
      </c>
      <c r="C38" s="13" t="s">
        <v>177</v>
      </c>
      <c r="D38" s="12"/>
      <c r="E38" s="35"/>
      <c r="F38" s="35"/>
      <c r="G38" s="54"/>
      <c r="H38" s="13"/>
      <c r="I38" s="79" cm="1">
        <f t="array" ref="I38">_xlfn.IFS(Table134[[#This Row],[Niveau de conformité]]="Partiellement appliqué", 1, Table134[[#This Row],[Niveau de conformité]]="Largement appliqué", 2, Table134[[#This Row],[Niveau de conformité]]="Totalement appliqué", 3, TRUE, 0)/1</f>
        <v>0</v>
      </c>
      <c r="J38" s="6"/>
      <c r="K38" s="6"/>
      <c r="L38" s="6"/>
      <c r="M38" s="6"/>
    </row>
    <row r="39" spans="1:13" ht="21" x14ac:dyDescent="0.3">
      <c r="A39" s="23">
        <v>8</v>
      </c>
      <c r="B39" s="81"/>
      <c r="C39" s="27" t="s">
        <v>81</v>
      </c>
      <c r="D39" s="27"/>
      <c r="E39" s="35"/>
      <c r="F39" s="35"/>
      <c r="G39" s="54"/>
      <c r="H39" s="13"/>
      <c r="I39" s="33"/>
      <c r="J39" s="106"/>
      <c r="K39" s="106"/>
      <c r="L39" s="106"/>
      <c r="M39" s="106"/>
    </row>
    <row r="40" spans="1:13" ht="22.8" customHeight="1" x14ac:dyDescent="0.3">
      <c r="A40" s="23">
        <v>8</v>
      </c>
      <c r="B40" s="81"/>
      <c r="C40" s="28" t="s">
        <v>92</v>
      </c>
      <c r="D40" s="28"/>
      <c r="E40" s="35"/>
      <c r="F40" s="35"/>
      <c r="G40" s="54"/>
      <c r="H40" s="13"/>
      <c r="I40" s="39">
        <f>AVERAGE(I41:I42)/3</f>
        <v>0</v>
      </c>
      <c r="J40" s="16"/>
      <c r="K40" s="16"/>
      <c r="L40" s="16"/>
      <c r="M40" s="16"/>
    </row>
    <row r="41" spans="1:13" ht="135" customHeight="1" x14ac:dyDescent="0.3">
      <c r="A41" s="23">
        <v>8</v>
      </c>
      <c r="B41" s="81" t="s">
        <v>72</v>
      </c>
      <c r="C41" s="13" t="s">
        <v>249</v>
      </c>
      <c r="D41" s="12" t="s">
        <v>136</v>
      </c>
      <c r="E41" s="35"/>
      <c r="F41" s="35"/>
      <c r="G41" s="54"/>
      <c r="H41" s="13"/>
      <c r="I41" s="79" cm="1">
        <f t="array" ref="I41">_xlfn.IFS(Table134[[#This Row],[Niveau de conformité]]="Partiellement appliqué", 1, Table134[[#This Row],[Niveau de conformité]]="Largement appliqué", 2, Table134[[#This Row],[Niveau de conformité]]="Totalement appliqué", 3, TRUE, 0)/1</f>
        <v>0</v>
      </c>
      <c r="J41" s="6"/>
      <c r="K41" s="6"/>
      <c r="L41" s="6"/>
      <c r="M41" s="6"/>
    </row>
    <row r="42" spans="1:13" ht="43.2" x14ac:dyDescent="0.3">
      <c r="A42" s="23">
        <v>8</v>
      </c>
      <c r="B42" s="81" t="s">
        <v>72</v>
      </c>
      <c r="C42" s="13" t="s">
        <v>73</v>
      </c>
      <c r="D42" s="12" t="s">
        <v>136</v>
      </c>
      <c r="E42" s="35"/>
      <c r="F42" s="35"/>
      <c r="G42" s="54"/>
      <c r="H42" s="13"/>
      <c r="I42" s="79" cm="1">
        <f t="array" ref="I42">_xlfn.IFS(Table134[[#This Row],[Niveau de conformité]]="Partiellement appliqué", 1, Table134[[#This Row],[Niveau de conformité]]="Largement appliqué", 2, Table134[[#This Row],[Niveau de conformité]]="Totalement appliqué", 3, TRUE, 0)/1</f>
        <v>0</v>
      </c>
      <c r="J42" s="6"/>
      <c r="K42" s="6"/>
      <c r="L42" s="6"/>
      <c r="M42" s="6"/>
    </row>
    <row r="43" spans="1:13" ht="21" x14ac:dyDescent="0.3">
      <c r="A43" s="23">
        <v>8</v>
      </c>
      <c r="B43" s="81"/>
      <c r="C43" s="28" t="s">
        <v>93</v>
      </c>
      <c r="D43" s="28"/>
      <c r="E43" s="35"/>
      <c r="F43" s="35"/>
      <c r="G43" s="54"/>
      <c r="H43" s="13"/>
      <c r="I43" s="39">
        <f>AVERAGE(I44:I45)/3</f>
        <v>0</v>
      </c>
      <c r="J43" s="6"/>
      <c r="K43" s="6"/>
      <c r="L43" s="6"/>
      <c r="M43" s="6"/>
    </row>
    <row r="44" spans="1:13" ht="66.599999999999994" customHeight="1" x14ac:dyDescent="0.3">
      <c r="A44" s="23">
        <v>8</v>
      </c>
      <c r="B44" s="81" t="s">
        <v>74</v>
      </c>
      <c r="C44" s="13" t="s">
        <v>75</v>
      </c>
      <c r="D44" s="12" t="s">
        <v>197</v>
      </c>
      <c r="E44" s="35"/>
      <c r="F44" s="35"/>
      <c r="G44" s="54"/>
      <c r="H44" s="13"/>
      <c r="I44" s="79" cm="1">
        <f t="array" ref="I44">_xlfn.IFS(Table134[[#This Row],[Niveau de conformité]]="Partiellement appliqué", 1, Table134[[#This Row],[Niveau de conformité]]="Largement appliqué", 2, Table134[[#This Row],[Niveau de conformité]]="Totalement appliqué", 3, TRUE, 0)/1</f>
        <v>0</v>
      </c>
      <c r="J44" s="6"/>
      <c r="K44" s="6"/>
      <c r="L44" s="6"/>
      <c r="M44" s="6"/>
    </row>
    <row r="45" spans="1:13" ht="138" customHeight="1" x14ac:dyDescent="0.3">
      <c r="A45" s="23">
        <v>8</v>
      </c>
      <c r="B45" s="81" t="s">
        <v>74</v>
      </c>
      <c r="C45" s="13" t="s">
        <v>76</v>
      </c>
      <c r="D45" s="12" t="s">
        <v>197</v>
      </c>
      <c r="E45" s="35"/>
      <c r="F45" s="35"/>
      <c r="G45" s="54"/>
      <c r="H45" s="13"/>
      <c r="I45" s="79" cm="1">
        <f t="array" ref="I45">_xlfn.IFS(Table134[[#This Row],[Niveau de conformité]]="Partiellement appliqué", 1, Table134[[#This Row],[Niveau de conformité]]="Largement appliqué", 2, Table134[[#This Row],[Niveau de conformité]]="Totalement appliqué", 3, TRUE, 0)/1</f>
        <v>0</v>
      </c>
      <c r="J45" s="6"/>
      <c r="K45" s="6"/>
      <c r="L45" s="6"/>
      <c r="M45" s="6"/>
    </row>
  </sheetData>
  <mergeCells count="8">
    <mergeCell ref="A1:XFD1"/>
    <mergeCell ref="J39:K39"/>
    <mergeCell ref="L39:M39"/>
    <mergeCell ref="B3:C6"/>
    <mergeCell ref="E6:F6"/>
    <mergeCell ref="G6:H6"/>
    <mergeCell ref="J34:K34"/>
    <mergeCell ref="L34:M34"/>
  </mergeCells>
  <dataValidations count="1">
    <dataValidation type="list" allowBlank="1" showInputMessage="1" showErrorMessage="1" sqref="E10:E45" xr:uid="{57903C97-EA33-4B8E-859C-C51C60F8FD46}">
      <formula1>Application</formula1>
    </dataValidation>
  </dataValidations>
  <pageMargins left="0.7" right="0.7" top="0.75" bottom="0.75" header="0.3" footer="0.3"/>
  <pageSetup paperSize="9" scale="23"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31" operator="lessThanOrEqual" id="{0AD76AA6-59E1-4426-A92B-6CC0D5320C65}">
            <xm:f>'Page de garde'!$L$25</xm:f>
            <x14:dxf>
              <font>
                <b/>
                <i val="0"/>
                <color theme="0"/>
              </font>
              <fill>
                <patternFill>
                  <bgColor rgb="FFFF0000"/>
                </patternFill>
              </fill>
            </x14:dxf>
          </x14:cfRule>
          <x14:cfRule type="cellIs" priority="32" operator="between" id="{87DD61A3-09B8-4F92-9F52-49DBADF617AB}">
            <xm:f>'Page de garde'!$L$25</xm:f>
            <xm:f>'Page de garde'!$L$24</xm:f>
            <x14:dxf>
              <font>
                <b/>
                <i val="0"/>
              </font>
              <fill>
                <patternFill>
                  <bgColor rgb="FFFFC000"/>
                </patternFill>
              </fill>
            </x14:dxf>
          </x14:cfRule>
          <x14:cfRule type="cellIs" priority="33" operator="greaterThanOrEqual" id="{0CE8E3EF-C7FF-4C7A-AB01-5EB29E4FADD7}">
            <xm:f>'Page de garde'!$L$24</xm:f>
            <x14:dxf>
              <font>
                <b/>
                <i val="0"/>
                <color theme="0"/>
              </font>
              <fill>
                <patternFill>
                  <bgColor rgb="FF00B050"/>
                </patternFill>
              </fill>
            </x14:dxf>
          </x14:cfRule>
          <xm:sqref>I9</xm:sqref>
        </x14:conditionalFormatting>
        <x14:conditionalFormatting xmlns:xm="http://schemas.microsoft.com/office/excel/2006/main">
          <x14:cfRule type="cellIs" priority="28" operator="lessThanOrEqual" id="{C8431929-4867-4BFA-9FDD-78C6E39F14CF}">
            <xm:f>'Page de garde'!$L$25</xm:f>
            <x14:dxf>
              <font>
                <b/>
                <i val="0"/>
                <color theme="0"/>
              </font>
              <fill>
                <patternFill>
                  <bgColor rgb="FFFF0000"/>
                </patternFill>
              </fill>
            </x14:dxf>
          </x14:cfRule>
          <x14:cfRule type="cellIs" priority="29" operator="between" id="{857AF7D1-1968-4B38-B7B7-B2703E6752F5}">
            <xm:f>'Page de garde'!$L$25</xm:f>
            <xm:f>'Page de garde'!$L$24</xm:f>
            <x14:dxf>
              <font>
                <b/>
                <i val="0"/>
              </font>
              <fill>
                <patternFill>
                  <bgColor rgb="FFFFC000"/>
                </patternFill>
              </fill>
            </x14:dxf>
          </x14:cfRule>
          <x14:cfRule type="cellIs" priority="30" operator="greaterThanOrEqual" id="{8E217DC8-91C2-4D47-978D-C890763D3CAA}">
            <xm:f>'Page de garde'!$L$24</xm:f>
            <x14:dxf>
              <font>
                <b/>
                <i val="0"/>
                <color theme="0"/>
              </font>
              <fill>
                <patternFill>
                  <bgColor rgb="FF00B050"/>
                </patternFill>
              </fill>
            </x14:dxf>
          </x14:cfRule>
          <xm:sqref>I12</xm:sqref>
        </x14:conditionalFormatting>
        <x14:conditionalFormatting xmlns:xm="http://schemas.microsoft.com/office/excel/2006/main">
          <x14:cfRule type="cellIs" priority="25" operator="lessThanOrEqual" id="{C8FA2C64-8685-495E-AE43-89365FFE2B00}">
            <xm:f>'Page de garde'!$L$25</xm:f>
            <x14:dxf>
              <font>
                <b/>
                <i val="0"/>
                <color theme="0"/>
              </font>
              <fill>
                <patternFill>
                  <bgColor rgb="FFFF0000"/>
                </patternFill>
              </fill>
            </x14:dxf>
          </x14:cfRule>
          <x14:cfRule type="cellIs" priority="26" operator="between" id="{5DFBA517-2434-4C57-AF4F-7E65587147B2}">
            <xm:f>'Page de garde'!$L$25</xm:f>
            <xm:f>'Page de garde'!$L$24</xm:f>
            <x14:dxf>
              <font>
                <b/>
                <i val="0"/>
              </font>
              <fill>
                <patternFill>
                  <bgColor rgb="FFFFC000"/>
                </patternFill>
              </fill>
            </x14:dxf>
          </x14:cfRule>
          <x14:cfRule type="cellIs" priority="27" operator="greaterThanOrEqual" id="{A2281D97-D97A-48FD-B054-F33E812B4217}">
            <xm:f>'Page de garde'!$L$24</xm:f>
            <x14:dxf>
              <font>
                <b/>
                <i val="0"/>
                <color theme="0"/>
              </font>
              <fill>
                <patternFill>
                  <bgColor rgb="FF00B050"/>
                </patternFill>
              </fill>
            </x14:dxf>
          </x14:cfRule>
          <xm:sqref>I24</xm:sqref>
        </x14:conditionalFormatting>
        <x14:conditionalFormatting xmlns:xm="http://schemas.microsoft.com/office/excel/2006/main">
          <x14:cfRule type="cellIs" priority="22" operator="lessThanOrEqual" id="{FE67AEDF-AF25-4705-A6C3-9C1CC73EC228}">
            <xm:f>'Page de garde'!$L$25</xm:f>
            <x14:dxf>
              <font>
                <b/>
                <i val="0"/>
                <color theme="0"/>
              </font>
              <fill>
                <patternFill>
                  <bgColor rgb="FFFF0000"/>
                </patternFill>
              </fill>
            </x14:dxf>
          </x14:cfRule>
          <x14:cfRule type="cellIs" priority="23" operator="between" id="{3132D12E-D2C9-4DBA-895F-7EE39138607D}">
            <xm:f>'Page de garde'!$L$25</xm:f>
            <xm:f>'Page de garde'!$L$24</xm:f>
            <x14:dxf>
              <font>
                <b/>
                <i val="0"/>
              </font>
              <fill>
                <patternFill>
                  <bgColor rgb="FFFFC000"/>
                </patternFill>
              </fill>
            </x14:dxf>
          </x14:cfRule>
          <x14:cfRule type="cellIs" priority="24" operator="greaterThanOrEqual" id="{C3791C1E-3EA8-4CF1-8CDC-7ADBFFC55C5D}">
            <xm:f>'Page de garde'!$L$24</xm:f>
            <x14:dxf>
              <font>
                <b/>
                <i val="0"/>
                <color theme="0"/>
              </font>
              <fill>
                <patternFill>
                  <bgColor rgb="FF00B050"/>
                </patternFill>
              </fill>
            </x14:dxf>
          </x14:cfRule>
          <xm:sqref>I33</xm:sqref>
        </x14:conditionalFormatting>
        <x14:conditionalFormatting xmlns:xm="http://schemas.microsoft.com/office/excel/2006/main">
          <x14:cfRule type="cellIs" priority="19" operator="lessThanOrEqual" id="{F1D5D1CD-C535-4946-A28C-37E664AA7D9A}">
            <xm:f>'Page de garde'!$L$25</xm:f>
            <x14:dxf>
              <font>
                <b/>
                <i val="0"/>
                <color theme="0"/>
              </font>
              <fill>
                <patternFill>
                  <bgColor rgb="FFFF0000"/>
                </patternFill>
              </fill>
            </x14:dxf>
          </x14:cfRule>
          <x14:cfRule type="cellIs" priority="20" operator="between" id="{BD63D036-6E9F-4FFE-A1E2-8EED2DFE4912}">
            <xm:f>'Page de garde'!$L$25</xm:f>
            <xm:f>'Page de garde'!$L$24</xm:f>
            <x14:dxf>
              <font>
                <b/>
                <i val="0"/>
              </font>
              <fill>
                <patternFill>
                  <bgColor rgb="FFFFC000"/>
                </patternFill>
              </fill>
            </x14:dxf>
          </x14:cfRule>
          <x14:cfRule type="cellIs" priority="21" operator="greaterThanOrEqual" id="{D034943F-285A-4A73-BB8F-25DA51F2919C}">
            <xm:f>'Page de garde'!$L$24</xm:f>
            <x14:dxf>
              <font>
                <b/>
                <i val="0"/>
                <color theme="0"/>
              </font>
              <fill>
                <patternFill>
                  <bgColor rgb="FF00B050"/>
                </patternFill>
              </fill>
            </x14:dxf>
          </x14:cfRule>
          <xm:sqref>I36</xm:sqref>
        </x14:conditionalFormatting>
        <x14:conditionalFormatting xmlns:xm="http://schemas.microsoft.com/office/excel/2006/main">
          <x14:cfRule type="cellIs" priority="16" operator="lessThanOrEqual" id="{AD2CB3B8-3C5E-4974-A9A8-ECE45262BC6F}">
            <xm:f>'Page de garde'!$L$25</xm:f>
            <x14:dxf>
              <font>
                <b/>
                <i val="0"/>
                <color theme="0"/>
              </font>
              <fill>
                <patternFill>
                  <bgColor rgb="FFFF0000"/>
                </patternFill>
              </fill>
            </x14:dxf>
          </x14:cfRule>
          <x14:cfRule type="cellIs" priority="17" operator="between" id="{6303D453-8E79-4266-ACB6-53BC90881229}">
            <xm:f>'Page de garde'!$L$25</xm:f>
            <xm:f>'Page de garde'!$L$24</xm:f>
            <x14:dxf>
              <font>
                <b/>
                <i val="0"/>
              </font>
              <fill>
                <patternFill>
                  <bgColor rgb="FFFFC000"/>
                </patternFill>
              </fill>
            </x14:dxf>
          </x14:cfRule>
          <x14:cfRule type="cellIs" priority="18" operator="greaterThanOrEqual" id="{80CC731A-DF50-4C8B-9A10-66AF5D95EDD7}">
            <xm:f>'Page de garde'!$L$24</xm:f>
            <x14:dxf>
              <font>
                <b/>
                <i val="0"/>
                <color theme="0"/>
              </font>
              <fill>
                <patternFill>
                  <bgColor rgb="FF00B050"/>
                </patternFill>
              </fill>
            </x14:dxf>
          </x14:cfRule>
          <xm:sqref>I40</xm:sqref>
        </x14:conditionalFormatting>
        <x14:conditionalFormatting xmlns:xm="http://schemas.microsoft.com/office/excel/2006/main">
          <x14:cfRule type="cellIs" priority="10" operator="lessThanOrEqual" id="{094AA3E3-12A8-4D79-A904-C1F10D85E203}">
            <xm:f>'Page de garde'!$L$25</xm:f>
            <x14:dxf>
              <font>
                <b/>
                <i val="0"/>
                <color theme="0"/>
              </font>
              <fill>
                <patternFill>
                  <bgColor rgb="FFFF0000"/>
                </patternFill>
              </fill>
            </x14:dxf>
          </x14:cfRule>
          <x14:cfRule type="cellIs" priority="11" operator="between" id="{CAC92543-E062-42BA-9B32-E0E55E5CA8FE}">
            <xm:f>'Page de garde'!$L$25</xm:f>
            <xm:f>'Page de garde'!$L$24</xm:f>
            <x14:dxf>
              <font>
                <b/>
                <i val="0"/>
              </font>
              <fill>
                <patternFill>
                  <bgColor rgb="FFFFC000"/>
                </patternFill>
              </fill>
            </x14:dxf>
          </x14:cfRule>
          <x14:cfRule type="cellIs" priority="12" operator="greaterThanOrEqual" id="{8FE8CC5B-10D9-4674-9C7A-080264DE3162}">
            <xm:f>'Page de garde'!$L$24</xm:f>
            <x14:dxf>
              <font>
                <b/>
                <i val="0"/>
                <color theme="0"/>
              </font>
              <fill>
                <patternFill>
                  <bgColor rgb="FF00B050"/>
                </patternFill>
              </fill>
            </x14:dxf>
          </x14:cfRule>
          <xm:sqref>I43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CB61-5E76-4236-993C-575206B21FEF}">
  <sheetPr>
    <tabColor rgb="FFFF0000"/>
    <pageSetUpPr fitToPage="1"/>
  </sheetPr>
  <dimension ref="A1:H24"/>
  <sheetViews>
    <sheetView showGridLines="0" topLeftCell="C1" zoomScale="74" zoomScaleNormal="52" workbookViewId="0">
      <selection activeCell="F12" sqref="F12"/>
    </sheetView>
  </sheetViews>
  <sheetFormatPr defaultRowHeight="14.4" x14ac:dyDescent="0.3"/>
  <cols>
    <col min="1" max="1" width="51.88671875" customWidth="1"/>
    <col min="2" max="2" width="18.6640625" customWidth="1"/>
    <col min="3" max="3" width="21.21875" style="1" customWidth="1"/>
    <col min="4" max="4" width="26.5546875" style="57" customWidth="1"/>
    <col min="5" max="5" width="20.44140625" style="57" customWidth="1"/>
    <col min="6" max="6" width="27.88671875" customWidth="1"/>
    <col min="7" max="7" width="116.21875" customWidth="1"/>
  </cols>
  <sheetData>
    <row r="1" spans="1:8" s="103" customFormat="1" ht="66" customHeight="1" x14ac:dyDescent="0.3"/>
    <row r="3" spans="1:8" ht="40.799999999999997" x14ac:dyDescent="0.3">
      <c r="A3" s="78" t="s">
        <v>185</v>
      </c>
      <c r="B3" s="78" t="s">
        <v>78</v>
      </c>
      <c r="C3" s="78" t="s">
        <v>183</v>
      </c>
      <c r="D3" s="78" t="s">
        <v>200</v>
      </c>
      <c r="E3" s="78" t="s">
        <v>184</v>
      </c>
      <c r="F3" s="78" t="s">
        <v>234</v>
      </c>
      <c r="G3" s="78" t="s">
        <v>232</v>
      </c>
    </row>
    <row r="4" spans="1:8" ht="21" x14ac:dyDescent="0.3">
      <c r="A4" s="73" t="s">
        <v>252</v>
      </c>
      <c r="B4" s="73"/>
      <c r="C4" s="73"/>
      <c r="D4" s="73"/>
      <c r="E4" s="73"/>
      <c r="F4" s="73"/>
      <c r="G4" s="73"/>
    </row>
    <row r="5" spans="1:8" ht="45" customHeight="1" x14ac:dyDescent="0.3">
      <c r="A5" s="50"/>
      <c r="B5" s="50"/>
      <c r="C5" s="50"/>
      <c r="D5" s="50"/>
      <c r="E5" s="50"/>
      <c r="F5" s="50"/>
      <c r="G5" s="50"/>
    </row>
    <row r="6" spans="1:8" ht="44.4" customHeight="1" x14ac:dyDescent="0.3">
      <c r="A6" s="50"/>
      <c r="B6" s="50"/>
      <c r="C6" s="50"/>
      <c r="D6" s="50"/>
      <c r="E6" s="50"/>
      <c r="F6" s="50"/>
      <c r="G6" s="50"/>
    </row>
    <row r="7" spans="1:8" ht="21" x14ac:dyDescent="0.3">
      <c r="A7" s="73" t="s">
        <v>4</v>
      </c>
      <c r="B7" s="74"/>
      <c r="C7" s="76"/>
      <c r="D7" s="76"/>
      <c r="E7" s="76"/>
      <c r="F7" s="68"/>
      <c r="G7" s="75"/>
    </row>
    <row r="8" spans="1:8" ht="59.4" customHeight="1" x14ac:dyDescent="0.3">
      <c r="A8" s="50"/>
      <c r="B8" s="72"/>
      <c r="C8" s="35"/>
      <c r="D8" s="35"/>
      <c r="E8" s="35"/>
      <c r="F8" s="55"/>
      <c r="G8" s="51"/>
      <c r="H8" s="49" t="s">
        <v>170</v>
      </c>
    </row>
    <row r="9" spans="1:8" ht="66" customHeight="1" x14ac:dyDescent="0.3">
      <c r="A9" s="50"/>
      <c r="B9" s="72"/>
      <c r="C9" s="35"/>
      <c r="D9" s="35"/>
      <c r="E9" s="35"/>
      <c r="F9" s="50"/>
      <c r="G9" s="102"/>
      <c r="H9" s="49" t="s">
        <v>170</v>
      </c>
    </row>
    <row r="10" spans="1:8" ht="21" customHeight="1" x14ac:dyDescent="0.3">
      <c r="A10" s="67" t="s">
        <v>5</v>
      </c>
      <c r="B10" s="71"/>
      <c r="C10" s="77"/>
      <c r="D10" s="77"/>
      <c r="E10" s="77"/>
      <c r="F10" s="77"/>
      <c r="G10" s="69"/>
      <c r="H10" s="49" t="s">
        <v>170</v>
      </c>
    </row>
    <row r="11" spans="1:8" ht="41.4" customHeight="1" x14ac:dyDescent="0.3">
      <c r="A11" s="51"/>
      <c r="B11" s="51"/>
      <c r="C11" s="51"/>
      <c r="D11" s="51"/>
      <c r="E11" s="51"/>
      <c r="F11" s="51"/>
      <c r="G11" s="51"/>
      <c r="H11" s="49" t="s">
        <v>170</v>
      </c>
    </row>
    <row r="12" spans="1:8" ht="28.8" customHeight="1" x14ac:dyDescent="0.3">
      <c r="A12" s="51"/>
      <c r="B12" s="72"/>
      <c r="C12" s="35"/>
      <c r="D12" s="12"/>
      <c r="E12" s="12"/>
      <c r="F12" s="55"/>
      <c r="G12" s="51"/>
      <c r="H12" s="49" t="s">
        <v>170</v>
      </c>
    </row>
    <row r="13" spans="1:8" ht="22.2" customHeight="1" x14ac:dyDescent="0.3">
      <c r="A13" s="67" t="s">
        <v>66</v>
      </c>
      <c r="B13" s="67"/>
      <c r="C13" s="67"/>
      <c r="D13" s="67"/>
      <c r="E13" s="67"/>
      <c r="F13" s="67"/>
      <c r="G13" s="67"/>
      <c r="H13" s="49" t="s">
        <v>170</v>
      </c>
    </row>
    <row r="14" spans="1:8" ht="52.8" customHeight="1" x14ac:dyDescent="0.3">
      <c r="A14" s="51"/>
      <c r="B14" s="72"/>
      <c r="C14" s="35"/>
      <c r="D14" s="35"/>
      <c r="E14" s="35"/>
      <c r="F14" s="55"/>
      <c r="G14" s="51"/>
      <c r="H14" s="49" t="s">
        <v>170</v>
      </c>
    </row>
    <row r="15" spans="1:8" ht="52.8" customHeight="1" x14ac:dyDescent="0.3">
      <c r="A15" s="51"/>
      <c r="B15" s="72"/>
      <c r="C15" s="35"/>
      <c r="D15" s="12"/>
      <c r="E15" s="12"/>
      <c r="F15" s="55"/>
      <c r="G15" s="51"/>
      <c r="H15" s="49" t="s">
        <v>170</v>
      </c>
    </row>
    <row r="16" spans="1:8" ht="28.2" customHeight="1" x14ac:dyDescent="0.3">
      <c r="A16" s="67" t="s">
        <v>253</v>
      </c>
      <c r="B16" s="67"/>
      <c r="C16" s="67"/>
      <c r="D16" s="67"/>
      <c r="E16" s="67"/>
      <c r="F16" s="67"/>
      <c r="G16" s="67"/>
      <c r="H16" s="49" t="s">
        <v>170</v>
      </c>
    </row>
    <row r="17" spans="1:8" ht="52.8" customHeight="1" x14ac:dyDescent="0.3">
      <c r="A17" s="51"/>
      <c r="B17" s="72"/>
      <c r="C17" s="35"/>
      <c r="D17" s="12"/>
      <c r="E17" s="12"/>
      <c r="F17" s="55"/>
      <c r="G17" s="51"/>
      <c r="H17" s="49" t="s">
        <v>170</v>
      </c>
    </row>
    <row r="18" spans="1:8" ht="61.2" customHeight="1" x14ac:dyDescent="0.3">
      <c r="A18" s="51"/>
      <c r="B18" s="72"/>
      <c r="C18" s="35"/>
      <c r="D18" s="12"/>
      <c r="E18" s="12"/>
      <c r="F18" s="55"/>
      <c r="G18" s="51"/>
      <c r="H18" s="49" t="s">
        <v>170</v>
      </c>
    </row>
    <row r="19" spans="1:8" ht="27" customHeight="1" x14ac:dyDescent="0.3">
      <c r="A19" s="67" t="s">
        <v>254</v>
      </c>
      <c r="B19" s="67"/>
      <c r="C19" s="67"/>
      <c r="D19" s="67"/>
      <c r="E19" s="67"/>
      <c r="F19" s="67"/>
      <c r="G19" s="67"/>
      <c r="H19" s="49" t="s">
        <v>170</v>
      </c>
    </row>
    <row r="20" spans="1:8" ht="54" customHeight="1" x14ac:dyDescent="0.3">
      <c r="A20" s="51"/>
      <c r="B20" s="72"/>
      <c r="C20" s="35"/>
      <c r="D20" s="12"/>
      <c r="E20" s="12"/>
      <c r="F20" s="55"/>
      <c r="G20" s="51"/>
      <c r="H20" s="49" t="s">
        <v>170</v>
      </c>
    </row>
    <row r="21" spans="1:8" ht="39" customHeight="1" x14ac:dyDescent="0.3">
      <c r="A21" s="51"/>
      <c r="B21" s="72"/>
      <c r="C21" s="35"/>
      <c r="D21" s="12"/>
      <c r="E21" s="12"/>
      <c r="F21" s="55"/>
      <c r="G21" s="51"/>
      <c r="H21" s="49" t="s">
        <v>170</v>
      </c>
    </row>
    <row r="22" spans="1:8" ht="21" x14ac:dyDescent="0.3">
      <c r="A22" s="67" t="s">
        <v>82</v>
      </c>
      <c r="B22" s="71"/>
      <c r="C22" s="77"/>
      <c r="D22" s="77"/>
      <c r="E22" s="77"/>
      <c r="F22" s="77"/>
      <c r="G22" s="69"/>
    </row>
    <row r="23" spans="1:8" ht="39.6" customHeight="1" x14ac:dyDescent="0.3">
      <c r="A23" s="50"/>
      <c r="B23" s="72"/>
      <c r="C23" s="35"/>
      <c r="D23" s="35"/>
      <c r="E23" s="12"/>
      <c r="F23" s="56"/>
      <c r="G23" s="51"/>
    </row>
    <row r="24" spans="1:8" ht="46.8" customHeight="1" x14ac:dyDescent="0.3">
      <c r="A24" s="50"/>
      <c r="B24" s="70"/>
      <c r="C24" s="35"/>
      <c r="D24" s="35"/>
      <c r="E24" s="35"/>
      <c r="F24" s="50"/>
      <c r="G24" s="50"/>
    </row>
  </sheetData>
  <mergeCells count="1">
    <mergeCell ref="A1:XFD1"/>
  </mergeCells>
  <dataValidations count="1">
    <dataValidation type="list" allowBlank="1" showInputMessage="1" showErrorMessage="1" sqref="C4:C24" xr:uid="{8C534EBD-A444-4489-93BE-43AAEFA1D33B}">
      <formula1>ISO</formula1>
    </dataValidation>
  </dataValidations>
  <pageMargins left="0.7" right="0.7" top="0.75" bottom="0.75" header="0.3" footer="0.3"/>
  <pageSetup paperSize="9" scale="25"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Page de garde</vt:lpstr>
      <vt:lpstr>Exigences Commun</vt:lpstr>
      <vt:lpstr>Exigences ISO-DIS 9001 vr 2025</vt:lpstr>
      <vt:lpstr>Exigences Spec ISO 27001</vt:lpstr>
      <vt:lpstr>Synthése</vt:lpstr>
      <vt:lpstr>Application</vt:lpstr>
      <vt:lpstr>ISO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ALA.E.ERRACHID</dc:creator>
  <cp:lastModifiedBy>ALA.E.ERRACHID</cp:lastModifiedBy>
  <cp:lastPrinted>2026-04-17T09:06:06Z</cp:lastPrinted>
  <dcterms:created xsi:type="dcterms:W3CDTF">2015-06-05T18:17:20Z</dcterms:created>
  <dcterms:modified xsi:type="dcterms:W3CDTF">2026-04-18T22:09:16Z</dcterms:modified>
</cp:coreProperties>
</file>